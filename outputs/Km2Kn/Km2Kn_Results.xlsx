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kib Mahmud\WSL_Projects\IMU2VGRF\"/>
    </mc:Choice>
  </mc:AlternateContent>
  <xr:revisionPtr revIDLastSave="0" documentId="13_ncr:1_{A27746E9-2068-41F8-93DA-2920563DF670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ubjects" sheetId="19" r:id="rId1"/>
    <sheet name="Speed_Trials" sheetId="10" r:id="rId2"/>
    <sheet name="Body Regions" sheetId="21" r:id="rId3"/>
    <sheet name="Task-wise" sheetId="4" r:id="rId4"/>
    <sheet name="Task-wise (2)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7" i="4" l="1"/>
  <c r="C32" i="4"/>
  <c r="H32" i="4"/>
  <c r="G32" i="4"/>
  <c r="F32" i="4"/>
  <c r="E32" i="4"/>
  <c r="D32" i="4"/>
  <c r="H36" i="4"/>
  <c r="G36" i="4"/>
  <c r="F36" i="4"/>
  <c r="E36" i="4"/>
  <c r="D36" i="4"/>
  <c r="C36" i="4"/>
  <c r="H31" i="4"/>
  <c r="G31" i="4"/>
  <c r="F31" i="4"/>
  <c r="E31" i="4"/>
  <c r="D31" i="4"/>
  <c r="C31" i="4"/>
  <c r="C35" i="4"/>
  <c r="H35" i="4"/>
  <c r="G35" i="4"/>
  <c r="F35" i="4"/>
  <c r="E35" i="4"/>
  <c r="D35" i="4"/>
  <c r="C34" i="4"/>
  <c r="D34" i="4"/>
  <c r="H34" i="4"/>
  <c r="G34" i="4"/>
  <c r="F34" i="4"/>
  <c r="E34" i="4"/>
  <c r="D33" i="4"/>
  <c r="H33" i="4"/>
  <c r="G33" i="4"/>
  <c r="F33" i="4"/>
  <c r="E33" i="4"/>
  <c r="C33" i="4"/>
  <c r="G37" i="4"/>
  <c r="H37" i="4"/>
  <c r="F37" i="4"/>
  <c r="E37" i="4"/>
  <c r="D37" i="4"/>
</calcChain>
</file>

<file path=xl/sharedStrings.xml><?xml version="1.0" encoding="utf-8"?>
<sst xmlns="http://schemas.openxmlformats.org/spreadsheetml/2006/main" count="193" uniqueCount="53">
  <si>
    <t>Models</t>
  </si>
  <si>
    <t>UNet</t>
  </si>
  <si>
    <t>UNet++</t>
  </si>
  <si>
    <t>UNet3+</t>
  </si>
  <si>
    <t>MultiResUNet</t>
  </si>
  <si>
    <t>FPN</t>
  </si>
  <si>
    <t>Performance</t>
  </si>
  <si>
    <t>MAE</t>
  </si>
  <si>
    <t>RMSE</t>
  </si>
  <si>
    <t>PCC</t>
  </si>
  <si>
    <t>R2</t>
  </si>
  <si>
    <t>DSC</t>
  </si>
  <si>
    <t>CS</t>
  </si>
  <si>
    <t>SERS-D2DNet</t>
  </si>
  <si>
    <t>SERS-D2DNet (Novel)</t>
  </si>
  <si>
    <t>Overall</t>
  </si>
  <si>
    <t>Enwave</t>
  </si>
  <si>
    <t>Tec5</t>
  </si>
  <si>
    <t>RID</t>
  </si>
  <si>
    <t>Fdefender</t>
  </si>
  <si>
    <t>Device</t>
  </si>
  <si>
    <t>GT</t>
  </si>
  <si>
    <t>Accuracy</t>
  </si>
  <si>
    <t>without baseline</t>
  </si>
  <si>
    <t>with baseline</t>
  </si>
  <si>
    <t>with baseline and filter</t>
  </si>
  <si>
    <t>with baseline, filter, domain transformation</t>
  </si>
  <si>
    <t>with baseline, filter, and DT</t>
  </si>
  <si>
    <t>without baseline correction</t>
  </si>
  <si>
    <t>with baseline correction</t>
  </si>
  <si>
    <t>Foot</t>
  </si>
  <si>
    <t>vGRF</t>
  </si>
  <si>
    <t>vGRM</t>
  </si>
  <si>
    <t>LL</t>
  </si>
  <si>
    <t>RL</t>
  </si>
  <si>
    <t xml:space="preserve">GRFAP </t>
  </si>
  <si>
    <t xml:space="preserve">GRFML </t>
  </si>
  <si>
    <t xml:space="preserve">GRMAP </t>
  </si>
  <si>
    <t xml:space="preserve">GRMML </t>
  </si>
  <si>
    <t>CoPAP</t>
  </si>
  <si>
    <t>CoPML</t>
  </si>
  <si>
    <t>Speed (km/h)</t>
  </si>
  <si>
    <t>Subject</t>
  </si>
  <si>
    <t>Domain</t>
  </si>
  <si>
    <t>Pelvis</t>
  </si>
  <si>
    <t>Lumbar</t>
  </si>
  <si>
    <t>Hip</t>
  </si>
  <si>
    <t>Knee</t>
  </si>
  <si>
    <t>Ankle</t>
  </si>
  <si>
    <t>Multi-region</t>
  </si>
  <si>
    <t>Ankle + Knee + Pelvis</t>
  </si>
  <si>
    <t>Ankle + Knee</t>
  </si>
  <si>
    <t>Ankle + Knee + Pelvis (Opt)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</si>
</sst>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4" xfId="1" applyNumberFormat="1" applyFont="1" applyFill="1" applyBorder="1" applyAlignment="1">
      <alignment vertical="center"/>
    </xf>
    <xf numFmtId="2" fontId="0" fillId="0" borderId="0" xfId="1" applyNumberFormat="1" applyFont="1" applyFill="1" applyBorder="1" applyAlignment="1">
      <alignment vertical="center"/>
    </xf>
    <xf numFmtId="2" fontId="0" fillId="0" borderId="5" xfId="1" applyNumberFormat="1" applyFont="1" applyFill="1" applyBorder="1" applyAlignment="1">
      <alignment vertical="center"/>
    </xf>
    <xf numFmtId="2" fontId="0" fillId="0" borderId="6" xfId="1" applyNumberFormat="1" applyFont="1" applyFill="1" applyBorder="1" applyAlignment="1">
      <alignment vertical="center"/>
    </xf>
    <xf numFmtId="2" fontId="0" fillId="0" borderId="7" xfId="1" applyNumberFormat="1" applyFont="1" applyFill="1" applyBorder="1" applyAlignment="1">
      <alignment vertical="center"/>
    </xf>
    <xf numFmtId="2" fontId="0" fillId="0" borderId="8" xfId="1" applyNumberFormat="1" applyFont="1" applyFill="1" applyBorder="1" applyAlignment="1">
      <alignment vertical="center"/>
    </xf>
    <xf numFmtId="2" fontId="0" fillId="0" borderId="11" xfId="1" applyNumberFormat="1" applyFont="1" applyFill="1" applyBorder="1" applyAlignment="1">
      <alignment vertical="center"/>
    </xf>
    <xf numFmtId="2" fontId="0" fillId="0" borderId="12" xfId="1" applyNumberFormat="1" applyFont="1" applyFill="1" applyBorder="1" applyAlignment="1">
      <alignment vertical="center"/>
    </xf>
    <xf numFmtId="2" fontId="0" fillId="0" borderId="13" xfId="1" applyNumberFormat="1" applyFont="1" applyFill="1" applyBorder="1" applyAlignment="1">
      <alignment vertical="center"/>
    </xf>
    <xf numFmtId="2" fontId="0" fillId="0" borderId="1" xfId="1" applyNumberFormat="1" applyFont="1" applyFill="1" applyBorder="1" applyAlignment="1">
      <alignment vertical="center"/>
    </xf>
    <xf numFmtId="2" fontId="0" fillId="0" borderId="2" xfId="1" applyNumberFormat="1" applyFont="1" applyFill="1" applyBorder="1" applyAlignment="1">
      <alignment vertical="center"/>
    </xf>
    <xf numFmtId="2" fontId="0" fillId="0" borderId="3" xfId="1" applyNumberFormat="1" applyFont="1" applyFill="1" applyBorder="1" applyAlignment="1">
      <alignment vertical="center"/>
    </xf>
    <xf numFmtId="2" fontId="0" fillId="0" borderId="14" xfId="1" applyNumberFormat="1" applyFont="1" applyFill="1" applyBorder="1" applyAlignment="1">
      <alignment vertical="center"/>
    </xf>
    <xf numFmtId="2" fontId="0" fillId="0" borderId="10" xfId="1" applyNumberFormat="1" applyFont="1" applyFill="1" applyBorder="1" applyAlignment="1">
      <alignment vertical="center"/>
    </xf>
    <xf numFmtId="2" fontId="0" fillId="0" borderId="14" xfId="1" applyNumberFormat="1" applyFont="1" applyFill="1" applyBorder="1" applyAlignment="1">
      <alignment horizontal="right" vertical="center"/>
    </xf>
    <xf numFmtId="2" fontId="0" fillId="0" borderId="9" xfId="0" applyNumberFormat="1" applyBorder="1" applyAlignment="1">
      <alignment horizontal="right" vertical="center"/>
    </xf>
    <xf numFmtId="2" fontId="0" fillId="0" borderId="9" xfId="1" applyNumberFormat="1" applyFont="1" applyFill="1" applyBorder="1" applyAlignment="1">
      <alignment vertic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9" xfId="0" applyBorder="1"/>
    <xf numFmtId="0" fontId="0" fillId="0" borderId="19" xfId="0" applyBorder="1"/>
    <xf numFmtId="2" fontId="0" fillId="0" borderId="12" xfId="0" applyNumberFormat="1" applyBorder="1"/>
    <xf numFmtId="2" fontId="0" fillId="0" borderId="13" xfId="0" applyNumberFormat="1" applyBorder="1"/>
    <xf numFmtId="0" fontId="0" fillId="0" borderId="14" xfId="0" applyBorder="1"/>
    <xf numFmtId="0" fontId="0" fillId="0" borderId="10" xfId="0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1" xfId="0" applyNumberFormat="1" applyBorder="1"/>
    <xf numFmtId="2" fontId="0" fillId="0" borderId="6" xfId="0" applyNumberFormat="1" applyBorder="1"/>
    <xf numFmtId="1" fontId="0" fillId="0" borderId="9" xfId="0" applyNumberFormat="1" applyBorder="1" applyAlignment="1">
      <alignment vertical="center"/>
    </xf>
    <xf numFmtId="1" fontId="0" fillId="0" borderId="10" xfId="0" applyNumberFormat="1" applyBorder="1" applyAlignment="1">
      <alignment vertical="center"/>
    </xf>
    <xf numFmtId="1" fontId="0" fillId="0" borderId="14" xfId="0" applyNumberFormat="1" applyBorder="1" applyAlignment="1">
      <alignment vertical="center"/>
    </xf>
    <xf numFmtId="1" fontId="0" fillId="0" borderId="14" xfId="0" applyNumberFormat="1" applyBorder="1" applyAlignment="1">
      <alignment horizontal="left" vertical="center"/>
    </xf>
    <xf numFmtId="1" fontId="0" fillId="0" borderId="10" xfId="0" applyNumberFormat="1" applyBorder="1" applyAlignment="1">
      <alignment horizontal="left" vertical="center"/>
    </xf>
    <xf numFmtId="1" fontId="0" fillId="0" borderId="9" xfId="0" applyNumberForma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Subjects!$C$1</c:f>
              <c:strCache>
                <c:ptCount val="1"/>
                <c:pt idx="0">
                  <c:v>GRFAP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(Subjects!$C$2,Subjects!$C$4,Subjects!$C$6,Subjects!$C$8,Subjects!$C$10,Subjects!$C$12,Subjects!$C$14,Subjects!$C$16,Subjects!$C$18)</c:f>
              <c:numCache>
                <c:formatCode>0.00</c:formatCode>
                <c:ptCount val="9"/>
                <c:pt idx="0">
                  <c:v>98.8</c:v>
                </c:pt>
                <c:pt idx="1">
                  <c:v>99.41</c:v>
                </c:pt>
                <c:pt idx="2">
                  <c:v>98.73</c:v>
                </c:pt>
                <c:pt idx="3">
                  <c:v>98.89</c:v>
                </c:pt>
                <c:pt idx="4">
                  <c:v>99.53</c:v>
                </c:pt>
                <c:pt idx="5">
                  <c:v>99.2</c:v>
                </c:pt>
                <c:pt idx="6">
                  <c:v>99.33</c:v>
                </c:pt>
                <c:pt idx="7">
                  <c:v>99.15</c:v>
                </c:pt>
                <c:pt idx="8">
                  <c:v>99.91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D4C-B9A2-7015911C70BF}"/>
            </c:ext>
          </c:extLst>
        </c:ser>
        <c:ser>
          <c:idx val="1"/>
          <c:order val="1"/>
          <c:tx>
            <c:strRef>
              <c:f>Subjects!$C$1</c:f>
              <c:strCache>
                <c:ptCount val="1"/>
                <c:pt idx="0">
                  <c:v>GRFAP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(Subjects!$C$3,Subjects!$C$5,Subjects!$C$7,Subjects!$C$9,Subjects!$C$11,Subjects!$C$13,Subjects!$C$15,Subjects!$C$17,Subjects!$C$19)</c:f>
              <c:numCache>
                <c:formatCode>0.00</c:formatCode>
                <c:ptCount val="9"/>
                <c:pt idx="0">
                  <c:v>98.73</c:v>
                </c:pt>
                <c:pt idx="1">
                  <c:v>99.84</c:v>
                </c:pt>
                <c:pt idx="2">
                  <c:v>98.83</c:v>
                </c:pt>
                <c:pt idx="3">
                  <c:v>99.86</c:v>
                </c:pt>
                <c:pt idx="4">
                  <c:v>99.71</c:v>
                </c:pt>
                <c:pt idx="5">
                  <c:v>98.48</c:v>
                </c:pt>
                <c:pt idx="6">
                  <c:v>99.49</c:v>
                </c:pt>
                <c:pt idx="7">
                  <c:v>98.76</c:v>
                </c:pt>
                <c:pt idx="8">
                  <c:v>99.64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E-4D4C-B9A2-7015911C70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Subjects!$D$1</c:f>
              <c:strCache>
                <c:ptCount val="1"/>
                <c:pt idx="0">
                  <c:v>vGRF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(Subjects!$A$2,Subjects!$A$2,Subjects!$A$4,Subjects!$A$6,Subjects!$A$8,Subjects!$A$10,Subjects!$A$12,Subjects!$A$14,Subjects!$A$16,Subjects!$A$18)</c:f>
              <c:numCache>
                <c:formatCode>0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f>(Subjects!$D$2,Subjects!$D$4,Subjects!$D$6,Subjects!$D$8,Subjects!$D$10,Subjects!$D$12,Subjects!$D$14,Subjects!$D$16,Subjects!$D$18)</c:f>
              <c:numCache>
                <c:formatCode>0.00</c:formatCode>
                <c:ptCount val="9"/>
                <c:pt idx="0">
                  <c:v>99.91</c:v>
                </c:pt>
                <c:pt idx="1">
                  <c:v>99.61</c:v>
                </c:pt>
                <c:pt idx="2">
                  <c:v>99.02</c:v>
                </c:pt>
                <c:pt idx="3">
                  <c:v>98.91</c:v>
                </c:pt>
                <c:pt idx="4">
                  <c:v>99.77</c:v>
                </c:pt>
                <c:pt idx="5">
                  <c:v>99.79</c:v>
                </c:pt>
                <c:pt idx="6">
                  <c:v>99.84</c:v>
                </c:pt>
                <c:pt idx="7">
                  <c:v>98.92</c:v>
                </c:pt>
                <c:pt idx="8">
                  <c:v>99.84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7-4C8C-907B-35B7EAF97E07}"/>
            </c:ext>
          </c:extLst>
        </c:ser>
        <c:ser>
          <c:idx val="1"/>
          <c:order val="1"/>
          <c:tx>
            <c:strRef>
              <c:f>Subjects!$D$1</c:f>
              <c:strCache>
                <c:ptCount val="1"/>
                <c:pt idx="0">
                  <c:v>vGRF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(Subjects!$A$2,Subjects!$A$2,Subjects!$A$4,Subjects!$A$6,Subjects!$A$8,Subjects!$A$10,Subjects!$A$12,Subjects!$A$14,Subjects!$A$16,Subjects!$A$18)</c:f>
              <c:numCache>
                <c:formatCode>0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f>(Subjects!$D$3,Subjects!$D$5,Subjects!$D$7,Subjects!$D$9,Subjects!$D$11,Subjects!$D$13,Subjects!$D$15,Subjects!$D$17,Subjects!$D$19)</c:f>
              <c:numCache>
                <c:formatCode>0.00</c:formatCode>
                <c:ptCount val="9"/>
                <c:pt idx="0">
                  <c:v>99.57</c:v>
                </c:pt>
                <c:pt idx="1">
                  <c:v>99.83</c:v>
                </c:pt>
                <c:pt idx="2">
                  <c:v>98.56</c:v>
                </c:pt>
                <c:pt idx="3">
                  <c:v>99.88</c:v>
                </c:pt>
                <c:pt idx="4">
                  <c:v>98.91</c:v>
                </c:pt>
                <c:pt idx="5">
                  <c:v>97.77</c:v>
                </c:pt>
                <c:pt idx="6">
                  <c:v>99.54</c:v>
                </c:pt>
                <c:pt idx="7">
                  <c:v>98.87</c:v>
                </c:pt>
                <c:pt idx="8">
                  <c:v>99.53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7-4C8C-907B-35B7EAF97E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Subjects!$E$1</c:f>
              <c:strCache>
                <c:ptCount val="1"/>
                <c:pt idx="0">
                  <c:v>GRFML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(Subjects!$E$2,Subjects!$E$4,Subjects!$E$6,Subjects!$E$8,Subjects!$E$10,Subjects!$E$12,Subjects!$E$14,Subjects!$E$16,Subjects!$E$18)</c:f>
              <c:numCache>
                <c:formatCode>0.00</c:formatCode>
                <c:ptCount val="9"/>
                <c:pt idx="0">
                  <c:v>98.87</c:v>
                </c:pt>
                <c:pt idx="1">
                  <c:v>99.41</c:v>
                </c:pt>
                <c:pt idx="2">
                  <c:v>99.2</c:v>
                </c:pt>
                <c:pt idx="3">
                  <c:v>97.91</c:v>
                </c:pt>
                <c:pt idx="4">
                  <c:v>98.07</c:v>
                </c:pt>
                <c:pt idx="5">
                  <c:v>97.83</c:v>
                </c:pt>
                <c:pt idx="6">
                  <c:v>97.36</c:v>
                </c:pt>
                <c:pt idx="7">
                  <c:v>99.03</c:v>
                </c:pt>
                <c:pt idx="8">
                  <c:v>98.61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1-426E-AF13-02AB4A4EEFB9}"/>
            </c:ext>
          </c:extLst>
        </c:ser>
        <c:ser>
          <c:idx val="1"/>
          <c:order val="1"/>
          <c:tx>
            <c:strRef>
              <c:f>Subjects!$E$1</c:f>
              <c:strCache>
                <c:ptCount val="1"/>
                <c:pt idx="0">
                  <c:v>GRFML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(Subjects!$E$3,Subjects!$E$5,Subjects!$E$7,Subjects!$E$9,Subjects!$E$11,Subjects!$E$13,Subjects!$E$15,Subjects!$E$17,Subjects!$E$19)</c:f>
              <c:numCache>
                <c:formatCode>0.00</c:formatCode>
                <c:ptCount val="9"/>
                <c:pt idx="0">
                  <c:v>97.81</c:v>
                </c:pt>
                <c:pt idx="1">
                  <c:v>98.15</c:v>
                </c:pt>
                <c:pt idx="2">
                  <c:v>96.97</c:v>
                </c:pt>
                <c:pt idx="3">
                  <c:v>95.23</c:v>
                </c:pt>
                <c:pt idx="4">
                  <c:v>97.1</c:v>
                </c:pt>
                <c:pt idx="5">
                  <c:v>97.48</c:v>
                </c:pt>
                <c:pt idx="6">
                  <c:v>98.79</c:v>
                </c:pt>
                <c:pt idx="7">
                  <c:v>97.41</c:v>
                </c:pt>
                <c:pt idx="8">
                  <c:v>99.83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1-426E-AF13-02AB4A4EEF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Subjects!$F$1</c:f>
              <c:strCache>
                <c:ptCount val="1"/>
                <c:pt idx="0">
                  <c:v>GRMAP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(Subjects!$F$2,Subjects!$F$4,Subjects!$F$6,Subjects!$F$8,Subjects!$F$10,Subjects!$F$12,Subjects!$F$14,Subjects!$F$16,Subjects!$F$18)</c:f>
              <c:numCache>
                <c:formatCode>0.00</c:formatCode>
                <c:ptCount val="9"/>
                <c:pt idx="0">
                  <c:v>99.91</c:v>
                </c:pt>
                <c:pt idx="1">
                  <c:v>99.94</c:v>
                </c:pt>
                <c:pt idx="2">
                  <c:v>99.9</c:v>
                </c:pt>
                <c:pt idx="3">
                  <c:v>99.41</c:v>
                </c:pt>
                <c:pt idx="4">
                  <c:v>99.41</c:v>
                </c:pt>
                <c:pt idx="5">
                  <c:v>99.64</c:v>
                </c:pt>
                <c:pt idx="6">
                  <c:v>99.87</c:v>
                </c:pt>
                <c:pt idx="7">
                  <c:v>99.52</c:v>
                </c:pt>
                <c:pt idx="8">
                  <c:v>99.48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5-47F1-9C28-26744FDA186F}"/>
            </c:ext>
          </c:extLst>
        </c:ser>
        <c:ser>
          <c:idx val="1"/>
          <c:order val="1"/>
          <c:tx>
            <c:strRef>
              <c:f>Subjects!$F$1</c:f>
              <c:strCache>
                <c:ptCount val="1"/>
                <c:pt idx="0">
                  <c:v>GRMAP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(Subjects!$F$3,Subjects!$F$5,Subjects!$F$7,Subjects!$F$9,Subjects!$F$11,Subjects!$F$13,Subjects!$F$15,Subjects!$F$17,Subjects!$F$19)</c:f>
              <c:numCache>
                <c:formatCode>0.00</c:formatCode>
                <c:ptCount val="9"/>
                <c:pt idx="0">
                  <c:v>98.53</c:v>
                </c:pt>
                <c:pt idx="1">
                  <c:v>99.33</c:v>
                </c:pt>
                <c:pt idx="2">
                  <c:v>99.43</c:v>
                </c:pt>
                <c:pt idx="3">
                  <c:v>99.19</c:v>
                </c:pt>
                <c:pt idx="4">
                  <c:v>99.39</c:v>
                </c:pt>
                <c:pt idx="5">
                  <c:v>98.69</c:v>
                </c:pt>
                <c:pt idx="6">
                  <c:v>99.64</c:v>
                </c:pt>
                <c:pt idx="7">
                  <c:v>99.6</c:v>
                </c:pt>
                <c:pt idx="8">
                  <c:v>99.71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5-47F1-9C28-26744FDA18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Subjects!$G$1</c:f>
              <c:strCache>
                <c:ptCount val="1"/>
                <c:pt idx="0">
                  <c:v>vGRM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(Subjects!$G$2,Subjects!$G$4,Subjects!$G$6,Subjects!$G$8,Subjects!$G$10,Subjects!$G$12,Subjects!$G$14,Subjects!$G$16,Subjects!$G$18)</c:f>
              <c:numCache>
                <c:formatCode>0.00</c:formatCode>
                <c:ptCount val="9"/>
                <c:pt idx="0">
                  <c:v>95.5</c:v>
                </c:pt>
                <c:pt idx="1">
                  <c:v>36.65</c:v>
                </c:pt>
                <c:pt idx="2">
                  <c:v>93.77</c:v>
                </c:pt>
                <c:pt idx="3">
                  <c:v>95.08</c:v>
                </c:pt>
                <c:pt idx="4">
                  <c:v>75.13</c:v>
                </c:pt>
                <c:pt idx="5">
                  <c:v>97.12</c:v>
                </c:pt>
                <c:pt idx="6">
                  <c:v>74.790000000000006</c:v>
                </c:pt>
                <c:pt idx="7">
                  <c:v>90.8</c:v>
                </c:pt>
                <c:pt idx="8">
                  <c:v>94.23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5-4546-9CD5-4AACC5A962BE}"/>
            </c:ext>
          </c:extLst>
        </c:ser>
        <c:ser>
          <c:idx val="1"/>
          <c:order val="1"/>
          <c:tx>
            <c:strRef>
              <c:f>Subjects!$G$1</c:f>
              <c:strCache>
                <c:ptCount val="1"/>
                <c:pt idx="0">
                  <c:v>vGRM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(Subjects!$G$3,Subjects!$G$5,Subjects!$G$7,Subjects!$G$9,Subjects!$G$11,Subjects!$G$13,Subjects!$G$15,Subjects!$G$17,Subjects!$G$19)</c:f>
              <c:numCache>
                <c:formatCode>0.00</c:formatCode>
                <c:ptCount val="9"/>
                <c:pt idx="0">
                  <c:v>84.26</c:v>
                </c:pt>
                <c:pt idx="1">
                  <c:v>44.95</c:v>
                </c:pt>
                <c:pt idx="2">
                  <c:v>95.44</c:v>
                </c:pt>
                <c:pt idx="3">
                  <c:v>87.37</c:v>
                </c:pt>
                <c:pt idx="4">
                  <c:v>74.73</c:v>
                </c:pt>
                <c:pt idx="5">
                  <c:v>95.57</c:v>
                </c:pt>
                <c:pt idx="6">
                  <c:v>94.57</c:v>
                </c:pt>
                <c:pt idx="7">
                  <c:v>94.65</c:v>
                </c:pt>
                <c:pt idx="8">
                  <c:v>97.69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5-4546-9CD5-4AACC5A962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Subjects!$H$1</c:f>
              <c:strCache>
                <c:ptCount val="1"/>
                <c:pt idx="0">
                  <c:v>GRMML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(Subjects!$H$2,Subjects!$H$4,Subjects!$H$6,Subjects!$H$8,Subjects!$H$10,Subjects!$H$12,Subjects!$H$14,Subjects!$H$16,Subjects!$H$18)</c:f>
              <c:numCache>
                <c:formatCode>0.00</c:formatCode>
                <c:ptCount val="9"/>
                <c:pt idx="0">
                  <c:v>98.23</c:v>
                </c:pt>
                <c:pt idx="1">
                  <c:v>75.83</c:v>
                </c:pt>
                <c:pt idx="2">
                  <c:v>96.62</c:v>
                </c:pt>
                <c:pt idx="3">
                  <c:v>97.63</c:v>
                </c:pt>
                <c:pt idx="4">
                  <c:v>85.35</c:v>
                </c:pt>
                <c:pt idx="5">
                  <c:v>97.51</c:v>
                </c:pt>
                <c:pt idx="6">
                  <c:v>97.13</c:v>
                </c:pt>
                <c:pt idx="7">
                  <c:v>95.7</c:v>
                </c:pt>
                <c:pt idx="8">
                  <c:v>94.93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2-4918-8770-650DD919EEE6}"/>
            </c:ext>
          </c:extLst>
        </c:ser>
        <c:ser>
          <c:idx val="1"/>
          <c:order val="1"/>
          <c:tx>
            <c:strRef>
              <c:f>Subjects!$H$1</c:f>
              <c:strCache>
                <c:ptCount val="1"/>
                <c:pt idx="0">
                  <c:v>GRMML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(Subjects!$H$3,Subjects!$H$5,Subjects!$H$7,Subjects!$H$9,Subjects!$H$11,Subjects!$H$13,Subjects!$H$15,Subjects!$H$17,Subjects!$H$19)</c:f>
              <c:numCache>
                <c:formatCode>0.00</c:formatCode>
                <c:ptCount val="9"/>
                <c:pt idx="0">
                  <c:v>98.42</c:v>
                </c:pt>
                <c:pt idx="1">
                  <c:v>75.86</c:v>
                </c:pt>
                <c:pt idx="2">
                  <c:v>94.12</c:v>
                </c:pt>
                <c:pt idx="3">
                  <c:v>99.18</c:v>
                </c:pt>
                <c:pt idx="4">
                  <c:v>86.73</c:v>
                </c:pt>
                <c:pt idx="5">
                  <c:v>94.93</c:v>
                </c:pt>
                <c:pt idx="6">
                  <c:v>91.32</c:v>
                </c:pt>
                <c:pt idx="7">
                  <c:v>86.2</c:v>
                </c:pt>
                <c:pt idx="8">
                  <c:v>88.51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2-4918-8770-650DD919EE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Subjects!$I$1</c:f>
              <c:strCache>
                <c:ptCount val="1"/>
                <c:pt idx="0">
                  <c:v>CoPAP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(Subjects!$I$2,Subjects!$I$4,Subjects!$I$6,Subjects!$I$8,Subjects!$I$10,Subjects!$I$12,Subjects!$I$14,Subjects!$I$16,Subjects!$I$18)</c:f>
              <c:numCache>
                <c:formatCode>0.00</c:formatCode>
                <c:ptCount val="9"/>
                <c:pt idx="0">
                  <c:v>89.05</c:v>
                </c:pt>
                <c:pt idx="1">
                  <c:v>98.76</c:v>
                </c:pt>
                <c:pt idx="2">
                  <c:v>98.46</c:v>
                </c:pt>
                <c:pt idx="3">
                  <c:v>99.23</c:v>
                </c:pt>
                <c:pt idx="4">
                  <c:v>94.58</c:v>
                </c:pt>
                <c:pt idx="5">
                  <c:v>98.95</c:v>
                </c:pt>
                <c:pt idx="6">
                  <c:v>96.9</c:v>
                </c:pt>
                <c:pt idx="7">
                  <c:v>93.04</c:v>
                </c:pt>
                <c:pt idx="8">
                  <c:v>97.92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F-46D2-955A-67D1ED76CD9B}"/>
            </c:ext>
          </c:extLst>
        </c:ser>
        <c:ser>
          <c:idx val="1"/>
          <c:order val="1"/>
          <c:tx>
            <c:strRef>
              <c:f>Subjects!$I$1</c:f>
              <c:strCache>
                <c:ptCount val="1"/>
                <c:pt idx="0">
                  <c:v>CoPAP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(Subjects!$I$3,Subjects!$I$5,Subjects!$I$7,Subjects!$I$9,Subjects!$I$11,Subjects!$I$13,Subjects!$I$15,Subjects!$I$17,Subjects!$I$19)</c:f>
              <c:numCache>
                <c:formatCode>0.00</c:formatCode>
                <c:ptCount val="9"/>
                <c:pt idx="0">
                  <c:v>95.35</c:v>
                </c:pt>
                <c:pt idx="1">
                  <c:v>99.32</c:v>
                </c:pt>
                <c:pt idx="2">
                  <c:v>98.53</c:v>
                </c:pt>
                <c:pt idx="3">
                  <c:v>99.03</c:v>
                </c:pt>
                <c:pt idx="4">
                  <c:v>96.93</c:v>
                </c:pt>
                <c:pt idx="5">
                  <c:v>97.97</c:v>
                </c:pt>
                <c:pt idx="6">
                  <c:v>96.42</c:v>
                </c:pt>
                <c:pt idx="7">
                  <c:v>94.09</c:v>
                </c:pt>
                <c:pt idx="8">
                  <c:v>98.63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F-46D2-955A-67D1ED76CD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30945959078591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Subjects!$B$2</c:f>
              <c:strCache>
                <c:ptCount val="1"/>
                <c:pt idx="0">
                  <c:v>LL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(Subjects!$J$2,Subjects!$J$4,Subjects!$J$6,Subjects!$J$8,Subjects!$J$10,Subjects!$J$12,Subjects!$J$14,Subjects!$J$16,Subjects!$J$18)</c:f>
              <c:numCache>
                <c:formatCode>0.00</c:formatCode>
                <c:ptCount val="9"/>
                <c:pt idx="0">
                  <c:v>93.9</c:v>
                </c:pt>
                <c:pt idx="1">
                  <c:v>89.86</c:v>
                </c:pt>
                <c:pt idx="2">
                  <c:v>95.01</c:v>
                </c:pt>
                <c:pt idx="3">
                  <c:v>99.14</c:v>
                </c:pt>
                <c:pt idx="4">
                  <c:v>79.650000000000006</c:v>
                </c:pt>
                <c:pt idx="5">
                  <c:v>91.15</c:v>
                </c:pt>
                <c:pt idx="6">
                  <c:v>84.61</c:v>
                </c:pt>
                <c:pt idx="7">
                  <c:v>76.930000000000007</c:v>
                </c:pt>
                <c:pt idx="8">
                  <c:v>96.58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4-4D08-8BB4-F0F1CD6164DE}"/>
            </c:ext>
          </c:extLst>
        </c:ser>
        <c:ser>
          <c:idx val="1"/>
          <c:order val="1"/>
          <c:tx>
            <c:strRef>
              <c:f>Subjects!$B$3</c:f>
              <c:strCache>
                <c:ptCount val="1"/>
                <c:pt idx="0">
                  <c:v>RL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(Subjects!$J$3,Subjects!$J$5,Subjects!$J$7,Subjects!$J$9,Subjects!$J$11,Subjects!$J$13,Subjects!$J$15,Subjects!$J$17,Subjects!$J$19)</c:f>
              <c:numCache>
                <c:formatCode>0.00</c:formatCode>
                <c:ptCount val="9"/>
                <c:pt idx="0">
                  <c:v>95.32</c:v>
                </c:pt>
                <c:pt idx="1">
                  <c:v>87.15</c:v>
                </c:pt>
                <c:pt idx="2">
                  <c:v>96.32</c:v>
                </c:pt>
                <c:pt idx="3">
                  <c:v>69.290000000000006</c:v>
                </c:pt>
                <c:pt idx="4">
                  <c:v>81.52</c:v>
                </c:pt>
                <c:pt idx="5">
                  <c:v>98.11</c:v>
                </c:pt>
                <c:pt idx="6">
                  <c:v>89.07</c:v>
                </c:pt>
                <c:pt idx="7">
                  <c:v>89.3</c:v>
                </c:pt>
                <c:pt idx="8">
                  <c:v>98.24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4-4D08-8BB4-F0F1CD6164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95699898099935"/>
          <c:y val="0.71335418223297764"/>
          <c:w val="0.14081815749159335"/>
          <c:h val="0.2548684427320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Subjects!$J$1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(Subjects!$J$2,Subjects!$J$4,Subjects!$J$6,Subjects!$J$8,Subjects!$J$10,Subjects!$J$12,Subjects!$J$14,Subjects!$J$16,Subjects!$J$18)</c:f>
              <c:numCache>
                <c:formatCode>0.00</c:formatCode>
                <c:ptCount val="9"/>
                <c:pt idx="0">
                  <c:v>93.9</c:v>
                </c:pt>
                <c:pt idx="1">
                  <c:v>89.86</c:v>
                </c:pt>
                <c:pt idx="2">
                  <c:v>95.01</c:v>
                </c:pt>
                <c:pt idx="3">
                  <c:v>99.14</c:v>
                </c:pt>
                <c:pt idx="4">
                  <c:v>79.650000000000006</c:v>
                </c:pt>
                <c:pt idx="5">
                  <c:v>91.15</c:v>
                </c:pt>
                <c:pt idx="6">
                  <c:v>84.61</c:v>
                </c:pt>
                <c:pt idx="7">
                  <c:v>76.930000000000007</c:v>
                </c:pt>
                <c:pt idx="8">
                  <c:v>96.58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B-4630-8047-EB115625C52E}"/>
            </c:ext>
          </c:extLst>
        </c:ser>
        <c:ser>
          <c:idx val="1"/>
          <c:order val="1"/>
          <c:tx>
            <c:strRef>
              <c:f>Subjects!$J$1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(Subjects!$A$2,Subjects!$A$4,Subjects!$A$6,Subjects!$A$8,Subjects!$A$10,Subjects!$A$12,Subjects!$A$14,Subjects!$A$16,Subjects!$A$18)</c:f>
              <c:numCache>
                <c:formatCode>0</c:formatCode>
                <c:ptCount val="9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</c:numCache>
            </c:numRef>
          </c:cat>
          <c:val>
            <c:numRef>
              <c:f>(Subjects!$J$3,Subjects!$J$5,Subjects!$J$7,Subjects!$J$9,Subjects!$J$11,Subjects!$J$13,Subjects!$J$15,Subjects!$J$17,Subjects!$J$19)</c:f>
              <c:numCache>
                <c:formatCode>0.00</c:formatCode>
                <c:ptCount val="9"/>
                <c:pt idx="0">
                  <c:v>95.32</c:v>
                </c:pt>
                <c:pt idx="1">
                  <c:v>87.15</c:v>
                </c:pt>
                <c:pt idx="2">
                  <c:v>96.32</c:v>
                </c:pt>
                <c:pt idx="3">
                  <c:v>69.290000000000006</c:v>
                </c:pt>
                <c:pt idx="4">
                  <c:v>81.52</c:v>
                </c:pt>
                <c:pt idx="5">
                  <c:v>98.11</c:v>
                </c:pt>
                <c:pt idx="6">
                  <c:v>89.07</c:v>
                </c:pt>
                <c:pt idx="7">
                  <c:v>89.3</c:v>
                </c:pt>
                <c:pt idx="8">
                  <c:v>98.24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B-4630-8047-EB115625C5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Speed_Trials!$C$1</c:f>
              <c:strCache>
                <c:ptCount val="1"/>
                <c:pt idx="0">
                  <c:v>GRFAP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(Speed_Trials!$C$2,Speed_Trials!$C$4,Speed_Trials!$C$6,Speed_Trials!$C$8,Speed_Trials!$C$10,Speed_Trials!$C$12,Speed_Trials!$C$14,Speed_Trials!$C$16,Speed_Trials!$C$18)</c:f>
              <c:numCache>
                <c:formatCode>0.00</c:formatCode>
                <c:ptCount val="9"/>
                <c:pt idx="0">
                  <c:v>93.79</c:v>
                </c:pt>
                <c:pt idx="1">
                  <c:v>99.55</c:v>
                </c:pt>
                <c:pt idx="2">
                  <c:v>99.92</c:v>
                </c:pt>
                <c:pt idx="3">
                  <c:v>99.94</c:v>
                </c:pt>
                <c:pt idx="4">
                  <c:v>99.94</c:v>
                </c:pt>
                <c:pt idx="5">
                  <c:v>99.96</c:v>
                </c:pt>
                <c:pt idx="6">
                  <c:v>99.51</c:v>
                </c:pt>
                <c:pt idx="7">
                  <c:v>99.97</c:v>
                </c:pt>
                <c:pt idx="8">
                  <c:v>99.82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0-4576-9FC7-6DA94B47F07E}"/>
            </c:ext>
          </c:extLst>
        </c:ser>
        <c:ser>
          <c:idx val="1"/>
          <c:order val="1"/>
          <c:tx>
            <c:strRef>
              <c:f>Speed_Trials!$C$1</c:f>
              <c:strCache>
                <c:ptCount val="1"/>
                <c:pt idx="0">
                  <c:v>GRFAP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(Speed_Trials!$C$3,Speed_Trials!$C$5,Speed_Trials!$C$7,Speed_Trials!$C$9,Speed_Trials!$C$11,Speed_Trials!$C$13,Speed_Trials!$C$15,Speed_Trials!$C$17,Speed_Trials!$C$19)</c:f>
              <c:numCache>
                <c:formatCode>0.00</c:formatCode>
                <c:ptCount val="9"/>
                <c:pt idx="0">
                  <c:v>51.74</c:v>
                </c:pt>
                <c:pt idx="1">
                  <c:v>99.86</c:v>
                </c:pt>
                <c:pt idx="2">
                  <c:v>99.93</c:v>
                </c:pt>
                <c:pt idx="3">
                  <c:v>99.96</c:v>
                </c:pt>
                <c:pt idx="4">
                  <c:v>99.94</c:v>
                </c:pt>
                <c:pt idx="5">
                  <c:v>99.94</c:v>
                </c:pt>
                <c:pt idx="6">
                  <c:v>99.93</c:v>
                </c:pt>
                <c:pt idx="7">
                  <c:v>99.92</c:v>
                </c:pt>
                <c:pt idx="8">
                  <c:v>99.93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0-4576-9FC7-6DA94B47F0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Speed_Trials!$D$1</c:f>
              <c:strCache>
                <c:ptCount val="1"/>
                <c:pt idx="0">
                  <c:v>vGRF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(Speed_Trials!$D$2,Speed_Trials!$D$4,Speed_Trials!$D$6,Speed_Trials!$D$8,Speed_Trials!$D$10,Speed_Trials!$D$12,Speed_Trials!$D$14,Speed_Trials!$D$16,Speed_Trials!$D$18)</c:f>
              <c:numCache>
                <c:formatCode>0.00</c:formatCode>
                <c:ptCount val="9"/>
                <c:pt idx="0">
                  <c:v>99.93</c:v>
                </c:pt>
                <c:pt idx="1">
                  <c:v>99.96</c:v>
                </c:pt>
                <c:pt idx="2">
                  <c:v>99.98</c:v>
                </c:pt>
                <c:pt idx="3">
                  <c:v>99.91</c:v>
                </c:pt>
                <c:pt idx="4">
                  <c:v>99.87</c:v>
                </c:pt>
                <c:pt idx="5">
                  <c:v>99.7</c:v>
                </c:pt>
                <c:pt idx="6">
                  <c:v>99.69</c:v>
                </c:pt>
                <c:pt idx="7">
                  <c:v>99.89</c:v>
                </c:pt>
                <c:pt idx="8">
                  <c:v>99.66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4-44D5-879A-1B34688D395C}"/>
            </c:ext>
          </c:extLst>
        </c:ser>
        <c:ser>
          <c:idx val="1"/>
          <c:order val="1"/>
          <c:tx>
            <c:strRef>
              <c:f>Speed_Trials!$D$1</c:f>
              <c:strCache>
                <c:ptCount val="1"/>
                <c:pt idx="0">
                  <c:v>vGRF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(Speed_Trials!$D$3,Speed_Trials!$D$5,Speed_Trials!$D$7,Speed_Trials!$D$9,Speed_Trials!$D$11,Speed_Trials!$D$13,Speed_Trials!$D$15,Speed_Trials!$D$17,Speed_Trials!$D$19)</c:f>
              <c:numCache>
                <c:formatCode>0.00</c:formatCode>
                <c:ptCount val="9"/>
                <c:pt idx="0">
                  <c:v>99.55</c:v>
                </c:pt>
                <c:pt idx="1">
                  <c:v>99.99</c:v>
                </c:pt>
                <c:pt idx="2">
                  <c:v>99.99</c:v>
                </c:pt>
                <c:pt idx="3">
                  <c:v>99.98</c:v>
                </c:pt>
                <c:pt idx="4">
                  <c:v>99.95</c:v>
                </c:pt>
                <c:pt idx="5">
                  <c:v>99.74</c:v>
                </c:pt>
                <c:pt idx="6">
                  <c:v>99.96</c:v>
                </c:pt>
                <c:pt idx="7">
                  <c:v>99.98</c:v>
                </c:pt>
                <c:pt idx="8">
                  <c:v>99.94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4-44D5-879A-1B34688D39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Speed_Trials!$E$1</c:f>
              <c:strCache>
                <c:ptCount val="1"/>
                <c:pt idx="0">
                  <c:v>GRFML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(Speed_Trials!$E$2,Speed_Trials!$E$4,Speed_Trials!$E$6,Speed_Trials!$E$8,Speed_Trials!$E$10,Speed_Trials!$E$12,Speed_Trials!$E$14,Speed_Trials!$E$16,Speed_Trials!$E$18)</c:f>
              <c:numCache>
                <c:formatCode>0.00</c:formatCode>
                <c:ptCount val="9"/>
                <c:pt idx="0">
                  <c:v>99.33</c:v>
                </c:pt>
                <c:pt idx="1">
                  <c:v>99.8</c:v>
                </c:pt>
                <c:pt idx="2">
                  <c:v>99.93</c:v>
                </c:pt>
                <c:pt idx="3">
                  <c:v>99.82</c:v>
                </c:pt>
                <c:pt idx="4">
                  <c:v>99.36</c:v>
                </c:pt>
                <c:pt idx="5">
                  <c:v>98.95</c:v>
                </c:pt>
                <c:pt idx="6">
                  <c:v>99.45</c:v>
                </c:pt>
                <c:pt idx="7">
                  <c:v>99.85</c:v>
                </c:pt>
                <c:pt idx="8">
                  <c:v>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6-4853-97D4-B04162AC621C}"/>
            </c:ext>
          </c:extLst>
        </c:ser>
        <c:ser>
          <c:idx val="1"/>
          <c:order val="1"/>
          <c:tx>
            <c:strRef>
              <c:f>Speed_Trials!$E$1</c:f>
              <c:strCache>
                <c:ptCount val="1"/>
                <c:pt idx="0">
                  <c:v>GRFML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(Speed_Trials!$E$3,Speed_Trials!$E$5,Speed_Trials!$E$7,Speed_Trials!$E$9,Speed_Trials!$E$11,Speed_Trials!$E$13,Speed_Trials!$E$15,Speed_Trials!$E$17,Speed_Trials!$E$19)</c:f>
              <c:numCache>
                <c:formatCode>0.00</c:formatCode>
                <c:ptCount val="9"/>
                <c:pt idx="0">
                  <c:v>91.05</c:v>
                </c:pt>
                <c:pt idx="1">
                  <c:v>99.87</c:v>
                </c:pt>
                <c:pt idx="2">
                  <c:v>99.9</c:v>
                </c:pt>
                <c:pt idx="3">
                  <c:v>99.87</c:v>
                </c:pt>
                <c:pt idx="4">
                  <c:v>99.82</c:v>
                </c:pt>
                <c:pt idx="5">
                  <c:v>99.42</c:v>
                </c:pt>
                <c:pt idx="6">
                  <c:v>99.77</c:v>
                </c:pt>
                <c:pt idx="7">
                  <c:v>99.94</c:v>
                </c:pt>
                <c:pt idx="8">
                  <c:v>99.93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6-4853-97D4-B04162AC62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Speed_Trials!$F$1</c:f>
              <c:strCache>
                <c:ptCount val="1"/>
                <c:pt idx="0">
                  <c:v>GRMAP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(Speed_Trials!$F$2,Speed_Trials!$F$4,Speed_Trials!$F$6,Speed_Trials!$F$8,Speed_Trials!$F$10,Speed_Trials!$F$12,Speed_Trials!$F$14,Speed_Trials!$F$16,Speed_Trials!$F$18)</c:f>
              <c:numCache>
                <c:formatCode>0.00</c:formatCode>
                <c:ptCount val="9"/>
                <c:pt idx="0">
                  <c:v>99.91</c:v>
                </c:pt>
                <c:pt idx="1">
                  <c:v>99.97</c:v>
                </c:pt>
                <c:pt idx="2">
                  <c:v>99.97</c:v>
                </c:pt>
                <c:pt idx="3">
                  <c:v>99.98</c:v>
                </c:pt>
                <c:pt idx="4">
                  <c:v>99.8</c:v>
                </c:pt>
                <c:pt idx="5">
                  <c:v>99.45</c:v>
                </c:pt>
                <c:pt idx="6">
                  <c:v>99.71</c:v>
                </c:pt>
                <c:pt idx="7">
                  <c:v>99.88</c:v>
                </c:pt>
                <c:pt idx="8">
                  <c:v>99.64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7-45C2-A302-B9A31958A708}"/>
            </c:ext>
          </c:extLst>
        </c:ser>
        <c:ser>
          <c:idx val="1"/>
          <c:order val="1"/>
          <c:tx>
            <c:strRef>
              <c:f>Speed_Trials!$F$1</c:f>
              <c:strCache>
                <c:ptCount val="1"/>
                <c:pt idx="0">
                  <c:v>GRMAP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(Speed_Trials!$F$3,Speed_Trials!$F$5,Speed_Trials!$F$7,Speed_Trials!$F$9,Speed_Trials!$F$11,Speed_Trials!$F$13,Speed_Trials!$F$15,Speed_Trials!$F$17,Speed_Trials!$F$19)</c:f>
              <c:numCache>
                <c:formatCode>0.00</c:formatCode>
                <c:ptCount val="9"/>
                <c:pt idx="0">
                  <c:v>99.55</c:v>
                </c:pt>
                <c:pt idx="1">
                  <c:v>99.99</c:v>
                </c:pt>
                <c:pt idx="2">
                  <c:v>99.98</c:v>
                </c:pt>
                <c:pt idx="3">
                  <c:v>99.97</c:v>
                </c:pt>
                <c:pt idx="4">
                  <c:v>99.91</c:v>
                </c:pt>
                <c:pt idx="5">
                  <c:v>99.72</c:v>
                </c:pt>
                <c:pt idx="6">
                  <c:v>99.98</c:v>
                </c:pt>
                <c:pt idx="7">
                  <c:v>99.99</c:v>
                </c:pt>
                <c:pt idx="8">
                  <c:v>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7-45C2-A302-B9A31958A7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Speed_Trials!$G$1</c:f>
              <c:strCache>
                <c:ptCount val="1"/>
                <c:pt idx="0">
                  <c:v>vGRM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(Speed_Trials!$G$2,Speed_Trials!$G$4,Speed_Trials!$G$6,Speed_Trials!$G$8,Speed_Trials!$G$10,Speed_Trials!$G$12,Speed_Trials!$G$14,Speed_Trials!$G$16,Speed_Trials!$G$18)</c:f>
              <c:numCache>
                <c:formatCode>0.00</c:formatCode>
                <c:ptCount val="9"/>
                <c:pt idx="0">
                  <c:v>65.89</c:v>
                </c:pt>
                <c:pt idx="1">
                  <c:v>98.44</c:v>
                </c:pt>
                <c:pt idx="2">
                  <c:v>98.44</c:v>
                </c:pt>
                <c:pt idx="3">
                  <c:v>99.61</c:v>
                </c:pt>
                <c:pt idx="4">
                  <c:v>99.69</c:v>
                </c:pt>
                <c:pt idx="5">
                  <c:v>96.36</c:v>
                </c:pt>
                <c:pt idx="6">
                  <c:v>99.49</c:v>
                </c:pt>
                <c:pt idx="7">
                  <c:v>97.81</c:v>
                </c:pt>
                <c:pt idx="8">
                  <c:v>97.41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5-4B1F-B194-4FE4BDAAAD4B}"/>
            </c:ext>
          </c:extLst>
        </c:ser>
        <c:ser>
          <c:idx val="1"/>
          <c:order val="1"/>
          <c:tx>
            <c:strRef>
              <c:f>Speed_Trials!$G$1</c:f>
              <c:strCache>
                <c:ptCount val="1"/>
                <c:pt idx="0">
                  <c:v>vGRM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(Speed_Trials!$G$3,Speed_Trials!$G$5,Speed_Trials!$G$7,Speed_Trials!$G$9,Speed_Trials!$G$11,Speed_Trials!$G$13,Speed_Trials!$G$15,Speed_Trials!$G$17,Speed_Trials!$G$19)</c:f>
              <c:numCache>
                <c:formatCode>0.00</c:formatCode>
                <c:ptCount val="9"/>
                <c:pt idx="0">
                  <c:v>61.19</c:v>
                </c:pt>
                <c:pt idx="1">
                  <c:v>98.03</c:v>
                </c:pt>
                <c:pt idx="2">
                  <c:v>99.53</c:v>
                </c:pt>
                <c:pt idx="3">
                  <c:v>99.54</c:v>
                </c:pt>
                <c:pt idx="4">
                  <c:v>99.36</c:v>
                </c:pt>
                <c:pt idx="5">
                  <c:v>98.31</c:v>
                </c:pt>
                <c:pt idx="6">
                  <c:v>98.79</c:v>
                </c:pt>
                <c:pt idx="7">
                  <c:v>97.51</c:v>
                </c:pt>
                <c:pt idx="8">
                  <c:v>96.47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5-4B1F-B194-4FE4BDAAAD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Speed_Trials!$H$1</c:f>
              <c:strCache>
                <c:ptCount val="1"/>
                <c:pt idx="0">
                  <c:v>GRMML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(Speed_Trials!$H$2,Speed_Trials!$H$4,Speed_Trials!$H$6,Speed_Trials!$H$8,Speed_Trials!$H$10,Speed_Trials!$H$12,Speed_Trials!$H$14,Speed_Trials!$H$16,Speed_Trials!$H$18)</c:f>
              <c:numCache>
                <c:formatCode>0.00</c:formatCode>
                <c:ptCount val="9"/>
                <c:pt idx="0">
                  <c:v>99.33</c:v>
                </c:pt>
                <c:pt idx="1">
                  <c:v>99.64</c:v>
                </c:pt>
                <c:pt idx="2">
                  <c:v>99.5</c:v>
                </c:pt>
                <c:pt idx="3">
                  <c:v>99.79</c:v>
                </c:pt>
                <c:pt idx="4">
                  <c:v>99.74</c:v>
                </c:pt>
                <c:pt idx="5">
                  <c:v>99.79</c:v>
                </c:pt>
                <c:pt idx="6">
                  <c:v>98.44</c:v>
                </c:pt>
                <c:pt idx="7">
                  <c:v>99.69</c:v>
                </c:pt>
                <c:pt idx="8">
                  <c:v>99.22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F-4A10-967A-1D35FE8AC907}"/>
            </c:ext>
          </c:extLst>
        </c:ser>
        <c:ser>
          <c:idx val="1"/>
          <c:order val="1"/>
          <c:tx>
            <c:strRef>
              <c:f>Speed_Trials!$H$1</c:f>
              <c:strCache>
                <c:ptCount val="1"/>
                <c:pt idx="0">
                  <c:v>GRMML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(Speed_Trials!$H$3,Speed_Trials!$H$5,Speed_Trials!$H$7,Speed_Trials!$H$9,Speed_Trials!$H$11,Speed_Trials!$H$13,Speed_Trials!$H$15,Speed_Trials!$H$17,Speed_Trials!$H$19)</c:f>
              <c:numCache>
                <c:formatCode>0.00</c:formatCode>
                <c:ptCount val="9"/>
                <c:pt idx="0">
                  <c:v>95.34</c:v>
                </c:pt>
                <c:pt idx="1">
                  <c:v>99.89</c:v>
                </c:pt>
                <c:pt idx="2">
                  <c:v>98.52</c:v>
                </c:pt>
                <c:pt idx="3">
                  <c:v>99.61</c:v>
                </c:pt>
                <c:pt idx="4">
                  <c:v>99.21</c:v>
                </c:pt>
                <c:pt idx="5">
                  <c:v>99.73</c:v>
                </c:pt>
                <c:pt idx="6">
                  <c:v>95.35</c:v>
                </c:pt>
                <c:pt idx="7">
                  <c:v>99.6</c:v>
                </c:pt>
                <c:pt idx="8">
                  <c:v>99.02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F-4A10-967A-1D35FE8AC90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Speed_Trials!$I$1</c:f>
              <c:strCache>
                <c:ptCount val="1"/>
                <c:pt idx="0">
                  <c:v>CoPAP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(Speed_Trials!$I$2,Speed_Trials!$I$4,Speed_Trials!$I$6,Speed_Trials!$I$8,Speed_Trials!$I$10,Speed_Trials!$I$12,Speed_Trials!$I$14,Speed_Trials!$I$16,Speed_Trials!$I$18)</c:f>
              <c:numCache>
                <c:formatCode>0.00</c:formatCode>
                <c:ptCount val="9"/>
                <c:pt idx="0">
                  <c:v>96.01</c:v>
                </c:pt>
                <c:pt idx="1">
                  <c:v>99.81</c:v>
                </c:pt>
                <c:pt idx="2">
                  <c:v>99.89</c:v>
                </c:pt>
                <c:pt idx="3">
                  <c:v>99.51</c:v>
                </c:pt>
                <c:pt idx="4">
                  <c:v>99.73</c:v>
                </c:pt>
                <c:pt idx="5">
                  <c:v>96.47</c:v>
                </c:pt>
                <c:pt idx="6">
                  <c:v>99.11</c:v>
                </c:pt>
                <c:pt idx="7">
                  <c:v>99.07</c:v>
                </c:pt>
                <c:pt idx="8">
                  <c:v>99.29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6-4FA4-B36A-48C8C376DBE2}"/>
            </c:ext>
          </c:extLst>
        </c:ser>
        <c:ser>
          <c:idx val="1"/>
          <c:order val="1"/>
          <c:tx>
            <c:strRef>
              <c:f>Speed_Trials!$I$1</c:f>
              <c:strCache>
                <c:ptCount val="1"/>
                <c:pt idx="0">
                  <c:v>CoPAP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(Speed_Trials!$I$3,Speed_Trials!$I$5,Speed_Trials!$I$7,Speed_Trials!$I$9,Speed_Trials!$I$11,Speed_Trials!$I$13,Speed_Trials!$I$15,Speed_Trials!$I$17,Speed_Trials!$I$19)</c:f>
              <c:numCache>
                <c:formatCode>0.00</c:formatCode>
                <c:ptCount val="9"/>
                <c:pt idx="0">
                  <c:v>81.25</c:v>
                </c:pt>
                <c:pt idx="1">
                  <c:v>99.76</c:v>
                </c:pt>
                <c:pt idx="2">
                  <c:v>99.73</c:v>
                </c:pt>
                <c:pt idx="3">
                  <c:v>99.63</c:v>
                </c:pt>
                <c:pt idx="4">
                  <c:v>99.89</c:v>
                </c:pt>
                <c:pt idx="5">
                  <c:v>99.23</c:v>
                </c:pt>
                <c:pt idx="6">
                  <c:v>98.96</c:v>
                </c:pt>
                <c:pt idx="7">
                  <c:v>99.48</c:v>
                </c:pt>
                <c:pt idx="8">
                  <c:v>99.52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6-4FA4-B36A-48C8C376DB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Speed_Trials!$J$1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(Speed_Trials!$J$2,Speed_Trials!$J$4,Speed_Trials!$J$6,Speed_Trials!$J$8,Speed_Trials!$J$10,Speed_Trials!$J$12,Speed_Trials!$J$14,Speed_Trials!$J$16,Speed_Trials!$J$18)</c:f>
              <c:numCache>
                <c:formatCode>0.00</c:formatCode>
                <c:ptCount val="9"/>
                <c:pt idx="0">
                  <c:v>81.42</c:v>
                </c:pt>
                <c:pt idx="1">
                  <c:v>98.51</c:v>
                </c:pt>
                <c:pt idx="2">
                  <c:v>99.66</c:v>
                </c:pt>
                <c:pt idx="3">
                  <c:v>99.84</c:v>
                </c:pt>
                <c:pt idx="4">
                  <c:v>99.48</c:v>
                </c:pt>
                <c:pt idx="5">
                  <c:v>97.04</c:v>
                </c:pt>
                <c:pt idx="6">
                  <c:v>99.43</c:v>
                </c:pt>
                <c:pt idx="7">
                  <c:v>99.05</c:v>
                </c:pt>
                <c:pt idx="8">
                  <c:v>98.95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C-428E-8FF9-FB5FAB1C694F}"/>
            </c:ext>
          </c:extLst>
        </c:ser>
        <c:ser>
          <c:idx val="1"/>
          <c:order val="1"/>
          <c:tx>
            <c:strRef>
              <c:f>Speed_Trials!$J$1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(Speed_Trials!$J$3,Speed_Trials!$J$5,Speed_Trials!$J$7,Speed_Trials!$J$9,Speed_Trials!$J$11,Speed_Trials!$J$13,Speed_Trials!$J$15,Speed_Trials!$J$17,Speed_Trials!$J$19)</c:f>
              <c:numCache>
                <c:formatCode>0.00</c:formatCode>
                <c:ptCount val="9"/>
                <c:pt idx="0">
                  <c:v>90.98</c:v>
                </c:pt>
                <c:pt idx="1">
                  <c:v>97.82</c:v>
                </c:pt>
                <c:pt idx="2">
                  <c:v>99.24</c:v>
                </c:pt>
                <c:pt idx="3">
                  <c:v>99.86</c:v>
                </c:pt>
                <c:pt idx="4">
                  <c:v>99.76</c:v>
                </c:pt>
                <c:pt idx="5">
                  <c:v>99.45</c:v>
                </c:pt>
                <c:pt idx="6">
                  <c:v>99.07</c:v>
                </c:pt>
                <c:pt idx="7">
                  <c:v>97.22</c:v>
                </c:pt>
                <c:pt idx="8">
                  <c:v>97.15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C-428E-8FF9-FB5FAB1C69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Speed_Trials!$J$1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(Speed_Trials!$J$2,Speed_Trials!$J$4,Speed_Trials!$J$6,Speed_Trials!$J$8,Speed_Trials!$J$10,Speed_Trials!$J$12,Speed_Trials!$J$14,Speed_Trials!$J$16,Speed_Trials!$J$18)</c:f>
              <c:numCache>
                <c:formatCode>0.00</c:formatCode>
                <c:ptCount val="9"/>
                <c:pt idx="0">
                  <c:v>81.42</c:v>
                </c:pt>
                <c:pt idx="1">
                  <c:v>98.51</c:v>
                </c:pt>
                <c:pt idx="2">
                  <c:v>99.66</c:v>
                </c:pt>
                <c:pt idx="3">
                  <c:v>99.84</c:v>
                </c:pt>
                <c:pt idx="4">
                  <c:v>99.48</c:v>
                </c:pt>
                <c:pt idx="5">
                  <c:v>97.04</c:v>
                </c:pt>
                <c:pt idx="6">
                  <c:v>99.43</c:v>
                </c:pt>
                <c:pt idx="7">
                  <c:v>99.05</c:v>
                </c:pt>
                <c:pt idx="8">
                  <c:v>98.95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9-4DAE-869A-314A9F35DB05}"/>
            </c:ext>
          </c:extLst>
        </c:ser>
        <c:ser>
          <c:idx val="1"/>
          <c:order val="1"/>
          <c:tx>
            <c:strRef>
              <c:f>Speed_Trials!$J$1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(Speed_Trials!$A$2,Speed_Trials!$A$4,Speed_Trials!$A$6,Speed_Trials!$A$8,Speed_Trials!$A$10,Speed_Trials!$A$12,Speed_Trials!$A$14,Speed_Trials!$A$16,Speed_Trials!$A$18)</c:f>
              <c:numCache>
                <c:formatCode>0.0</c:formatCode>
                <c:ptCount val="9"/>
                <c:pt idx="0">
                  <c:v>0.9</c:v>
                </c:pt>
                <c:pt idx="1">
                  <c:v>1.8</c:v>
                </c:pt>
                <c:pt idx="2">
                  <c:v>2.7</c:v>
                </c:pt>
                <c:pt idx="3">
                  <c:v>3.6</c:v>
                </c:pt>
                <c:pt idx="4">
                  <c:v>4.5</c:v>
                </c:pt>
                <c:pt idx="5">
                  <c:v>5.4</c:v>
                </c:pt>
                <c:pt idx="6">
                  <c:v>6.3</c:v>
                </c:pt>
                <c:pt idx="7">
                  <c:v>8.1</c:v>
                </c:pt>
                <c:pt idx="8">
                  <c:v>9.9</c:v>
                </c:pt>
              </c:numCache>
            </c:numRef>
          </c:cat>
          <c:val>
            <c:numRef>
              <c:f>(Speed_Trials!$J$3,Speed_Trials!$J$5,Speed_Trials!$J$7,Speed_Trials!$J$9,Speed_Trials!$J$11,Speed_Trials!$J$13,Speed_Trials!$J$15,Speed_Trials!$J$17,Speed_Trials!$J$19)</c:f>
              <c:numCache>
                <c:formatCode>0.00</c:formatCode>
                <c:ptCount val="9"/>
                <c:pt idx="0">
                  <c:v>90.98</c:v>
                </c:pt>
                <c:pt idx="1">
                  <c:v>97.82</c:v>
                </c:pt>
                <c:pt idx="2">
                  <c:v>99.24</c:v>
                </c:pt>
                <c:pt idx="3">
                  <c:v>99.86</c:v>
                </c:pt>
                <c:pt idx="4">
                  <c:v>99.76</c:v>
                </c:pt>
                <c:pt idx="5">
                  <c:v>99.45</c:v>
                </c:pt>
                <c:pt idx="6">
                  <c:v>99.07</c:v>
                </c:pt>
                <c:pt idx="7">
                  <c:v>97.22</c:v>
                </c:pt>
                <c:pt idx="8">
                  <c:v>97.15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9-4DAE-869A-314A9F35DB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Regions'!$O$1</c:f>
              <c:strCache>
                <c:ptCount val="1"/>
                <c:pt idx="0">
                  <c:v>GRFAP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Regions'!$O$2,'Body Regions'!$O$4,'Body Regions'!$O$6,'Body Regions'!$O$8,'Body Regions'!$O$10,'Body Regions'!$O$12)</c:f>
              <c:numCache>
                <c:formatCode>0.00</c:formatCode>
                <c:ptCount val="6"/>
                <c:pt idx="0">
                  <c:v>99.1</c:v>
                </c:pt>
                <c:pt idx="1">
                  <c:v>98.41</c:v>
                </c:pt>
                <c:pt idx="2">
                  <c:v>99.33</c:v>
                </c:pt>
                <c:pt idx="3">
                  <c:v>99.35</c:v>
                </c:pt>
                <c:pt idx="4">
                  <c:v>99.17</c:v>
                </c:pt>
                <c:pt idx="5">
                  <c:v>99.41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1-45AB-AEA2-7B226DBF223E}"/>
            </c:ext>
          </c:extLst>
        </c:ser>
        <c:ser>
          <c:idx val="1"/>
          <c:order val="1"/>
          <c:tx>
            <c:strRef>
              <c:f>'Body Regions'!$O$1</c:f>
              <c:strCache>
                <c:ptCount val="1"/>
                <c:pt idx="0">
                  <c:v>GRFAP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Regions'!$O$3,'Body Regions'!$O$5,'Body Regions'!$O$7,'Body Regions'!$O$9,'Body Regions'!$O$11,'Body Regions'!$O$13)</c:f>
              <c:numCache>
                <c:formatCode>0.00</c:formatCode>
                <c:ptCount val="6"/>
                <c:pt idx="0">
                  <c:v>94.91</c:v>
                </c:pt>
                <c:pt idx="1">
                  <c:v>93.891000000000005</c:v>
                </c:pt>
                <c:pt idx="2">
                  <c:v>95.33</c:v>
                </c:pt>
                <c:pt idx="3">
                  <c:v>95.69</c:v>
                </c:pt>
                <c:pt idx="4">
                  <c:v>94.48</c:v>
                </c:pt>
                <c:pt idx="5">
                  <c:v>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1-45AB-AEA2-7B226DBF22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Regions'!$P$1</c:f>
              <c:strCache>
                <c:ptCount val="1"/>
                <c:pt idx="0">
                  <c:v>vGRF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Regions'!$P$2,'Body Regions'!$P$4,'Body Regions'!$P$6,'Body Regions'!$P$8,'Body Regions'!$P$10,'Body Regions'!$P$12)</c:f>
              <c:numCache>
                <c:formatCode>0.00</c:formatCode>
                <c:ptCount val="6"/>
                <c:pt idx="0">
                  <c:v>99.75</c:v>
                </c:pt>
                <c:pt idx="1">
                  <c:v>99.29</c:v>
                </c:pt>
                <c:pt idx="2">
                  <c:v>99.85</c:v>
                </c:pt>
                <c:pt idx="3">
                  <c:v>99.75</c:v>
                </c:pt>
                <c:pt idx="4">
                  <c:v>99.84</c:v>
                </c:pt>
                <c:pt idx="5">
                  <c:v>99.85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C-4995-B9B2-B959124F81B4}"/>
            </c:ext>
          </c:extLst>
        </c:ser>
        <c:ser>
          <c:idx val="1"/>
          <c:order val="1"/>
          <c:tx>
            <c:strRef>
              <c:f>'Body Regions'!$P$1</c:f>
              <c:strCache>
                <c:ptCount val="1"/>
                <c:pt idx="0">
                  <c:v>vGRF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Regions'!$P$3,'Body Regions'!$P$5,'Body Regions'!$P$7,'Body Regions'!$P$9,'Body Regions'!$P$11,'Body Regions'!$P$13)</c:f>
              <c:numCache>
                <c:formatCode>0.00</c:formatCode>
                <c:ptCount val="6"/>
                <c:pt idx="0">
                  <c:v>99.8</c:v>
                </c:pt>
                <c:pt idx="1">
                  <c:v>99.64</c:v>
                </c:pt>
                <c:pt idx="2">
                  <c:v>99.775999999999996</c:v>
                </c:pt>
                <c:pt idx="3">
                  <c:v>99.75</c:v>
                </c:pt>
                <c:pt idx="4">
                  <c:v>99.9</c:v>
                </c:pt>
                <c:pt idx="5">
                  <c:v>96.95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C-4995-B9B2-B959124F81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Regions'!$Q$1</c:f>
              <c:strCache>
                <c:ptCount val="1"/>
                <c:pt idx="0">
                  <c:v>GRFML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Regions'!$Q$2,'Body Regions'!$Q$4,'Body Regions'!$Q$6,'Body Regions'!$Q$8,'Body Regions'!$Q$10,'Body Regions'!$Q$12)</c:f>
              <c:numCache>
                <c:formatCode>0.00</c:formatCode>
                <c:ptCount val="6"/>
                <c:pt idx="0">
                  <c:v>99.35</c:v>
                </c:pt>
                <c:pt idx="1">
                  <c:v>98.94</c:v>
                </c:pt>
                <c:pt idx="2">
                  <c:v>99.5</c:v>
                </c:pt>
                <c:pt idx="3">
                  <c:v>99.2</c:v>
                </c:pt>
                <c:pt idx="4">
                  <c:v>99.54</c:v>
                </c:pt>
                <c:pt idx="5">
                  <c:v>99.71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2-437C-88CA-A0402AA8BC7B}"/>
            </c:ext>
          </c:extLst>
        </c:ser>
        <c:ser>
          <c:idx val="1"/>
          <c:order val="1"/>
          <c:tx>
            <c:strRef>
              <c:f>'Body Regions'!$Q$1</c:f>
              <c:strCache>
                <c:ptCount val="1"/>
                <c:pt idx="0">
                  <c:v>GRFML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Regions'!$Q$3,'Body Regions'!$Q$5,'Body Regions'!$Q$7,'Body Regions'!$Q$9,'Body Regions'!$Q$11,'Body Regions'!$Q$13)</c:f>
              <c:numCache>
                <c:formatCode>0.00</c:formatCode>
                <c:ptCount val="6"/>
                <c:pt idx="0">
                  <c:v>98.85</c:v>
                </c:pt>
                <c:pt idx="1">
                  <c:v>98.68</c:v>
                </c:pt>
                <c:pt idx="2">
                  <c:v>98.39</c:v>
                </c:pt>
                <c:pt idx="3">
                  <c:v>98.32</c:v>
                </c:pt>
                <c:pt idx="4">
                  <c:v>98.76</c:v>
                </c:pt>
                <c:pt idx="5">
                  <c:v>91.74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2-437C-88CA-A0402AA8BC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Regions'!$R$1</c:f>
              <c:strCache>
                <c:ptCount val="1"/>
                <c:pt idx="0">
                  <c:v>GRMAP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Regions'!$R$2,'Body Regions'!$R$4,'Body Regions'!$R$6,'Body Regions'!$R$8,'Body Regions'!$R$10,'Body Regions'!$R$12)</c:f>
              <c:numCache>
                <c:formatCode>0.00</c:formatCode>
                <c:ptCount val="6"/>
                <c:pt idx="0">
                  <c:v>99.72</c:v>
                </c:pt>
                <c:pt idx="1">
                  <c:v>99.29</c:v>
                </c:pt>
                <c:pt idx="2">
                  <c:v>99.86</c:v>
                </c:pt>
                <c:pt idx="3">
                  <c:v>99.69</c:v>
                </c:pt>
                <c:pt idx="4">
                  <c:v>99.81</c:v>
                </c:pt>
                <c:pt idx="5">
                  <c:v>99.85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F-491B-B5E3-14784F8418CD}"/>
            </c:ext>
          </c:extLst>
        </c:ser>
        <c:ser>
          <c:idx val="1"/>
          <c:order val="1"/>
          <c:tx>
            <c:strRef>
              <c:f>'Body Regions'!$R$1</c:f>
              <c:strCache>
                <c:ptCount val="1"/>
                <c:pt idx="0">
                  <c:v>GRMAP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Regions'!$R$3,'Body Regions'!$R$5,'Body Regions'!$R$7,'Body Regions'!$R$9,'Body Regions'!$R$11,'Body Regions'!$R$13)</c:f>
              <c:numCache>
                <c:formatCode>0.00</c:formatCode>
                <c:ptCount val="6"/>
                <c:pt idx="0">
                  <c:v>99.82</c:v>
                </c:pt>
                <c:pt idx="1">
                  <c:v>99.73</c:v>
                </c:pt>
                <c:pt idx="2">
                  <c:v>99.8</c:v>
                </c:pt>
                <c:pt idx="3">
                  <c:v>99.61</c:v>
                </c:pt>
                <c:pt idx="4">
                  <c:v>99.9</c:v>
                </c:pt>
                <c:pt idx="5">
                  <c:v>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F-491B-B5E3-14784F8418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Regions'!$S$1</c:f>
              <c:strCache>
                <c:ptCount val="1"/>
                <c:pt idx="0">
                  <c:v>vGRM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Regions'!$S$2,'Body Regions'!$S$4,'Body Regions'!$S$6,'Body Regions'!$S$8,'Body Regions'!$S$10,'Body Regions'!$S$12)</c:f>
              <c:numCache>
                <c:formatCode>0.00</c:formatCode>
                <c:ptCount val="6"/>
                <c:pt idx="0">
                  <c:v>95.69</c:v>
                </c:pt>
                <c:pt idx="1">
                  <c:v>91.77</c:v>
                </c:pt>
                <c:pt idx="2">
                  <c:v>92.95</c:v>
                </c:pt>
                <c:pt idx="3">
                  <c:v>97.87</c:v>
                </c:pt>
                <c:pt idx="4">
                  <c:v>95.78</c:v>
                </c:pt>
                <c:pt idx="5">
                  <c:v>67.069999999999993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6-4F4A-83B9-EBF61330A144}"/>
            </c:ext>
          </c:extLst>
        </c:ser>
        <c:ser>
          <c:idx val="1"/>
          <c:order val="1"/>
          <c:tx>
            <c:strRef>
              <c:f>'Body Regions'!$S$1</c:f>
              <c:strCache>
                <c:ptCount val="1"/>
                <c:pt idx="0">
                  <c:v>vGRM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Regions'!$S$3,'Body Regions'!$S$5,'Body Regions'!$S$7,'Body Regions'!$S$9,'Body Regions'!$S$11,'Body Regions'!$S$13)</c:f>
              <c:numCache>
                <c:formatCode>0.00</c:formatCode>
                <c:ptCount val="6"/>
                <c:pt idx="0">
                  <c:v>92.15</c:v>
                </c:pt>
                <c:pt idx="1">
                  <c:v>88.5</c:v>
                </c:pt>
                <c:pt idx="2">
                  <c:v>93.14</c:v>
                </c:pt>
                <c:pt idx="3">
                  <c:v>95.11</c:v>
                </c:pt>
                <c:pt idx="4">
                  <c:v>94.42</c:v>
                </c:pt>
                <c:pt idx="5">
                  <c:v>94.91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6-4F4A-83B9-EBF61330A1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Regions'!$T$1</c:f>
              <c:strCache>
                <c:ptCount val="1"/>
                <c:pt idx="0">
                  <c:v>GRMML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Regions'!$T$2,'Body Regions'!$T$4,'Body Regions'!$T$6,'Body Regions'!$T$8,'Body Regions'!$T$10,'Body Regions'!$T$12)</c:f>
              <c:numCache>
                <c:formatCode>0.00</c:formatCode>
                <c:ptCount val="6"/>
                <c:pt idx="0">
                  <c:v>98.48</c:v>
                </c:pt>
                <c:pt idx="1">
                  <c:v>97.59</c:v>
                </c:pt>
                <c:pt idx="2">
                  <c:v>98.93</c:v>
                </c:pt>
                <c:pt idx="3">
                  <c:v>97.97</c:v>
                </c:pt>
                <c:pt idx="4">
                  <c:v>99.48</c:v>
                </c:pt>
                <c:pt idx="5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2-4B32-9AAD-395E1F813E13}"/>
            </c:ext>
          </c:extLst>
        </c:ser>
        <c:ser>
          <c:idx val="1"/>
          <c:order val="1"/>
          <c:tx>
            <c:strRef>
              <c:f>'Body Regions'!$T$1</c:f>
              <c:strCache>
                <c:ptCount val="1"/>
                <c:pt idx="0">
                  <c:v>GRMML 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Regions'!$T$3,'Body Regions'!$T$5,'Body Regions'!$T$7,'Body Regions'!$T$9,'Body Regions'!$T$11,'Body Regions'!$T$13)</c:f>
              <c:numCache>
                <c:formatCode>0.00</c:formatCode>
                <c:ptCount val="6"/>
                <c:pt idx="0">
                  <c:v>98.73</c:v>
                </c:pt>
                <c:pt idx="1">
                  <c:v>97.42</c:v>
                </c:pt>
                <c:pt idx="2">
                  <c:v>98.69</c:v>
                </c:pt>
                <c:pt idx="3">
                  <c:v>98.08</c:v>
                </c:pt>
                <c:pt idx="4">
                  <c:v>98.22</c:v>
                </c:pt>
                <c:pt idx="5">
                  <c:v>98.63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2-4B32-9AAD-395E1F813E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Regions'!$U$1</c:f>
              <c:strCache>
                <c:ptCount val="1"/>
                <c:pt idx="0">
                  <c:v>CoPAP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Regions'!$U$2,'Body Regions'!$U$4,'Body Regions'!$U$6,'Body Regions'!$U$8,'Body Regions'!$U$10,'Body Regions'!$U$12)</c:f>
              <c:numCache>
                <c:formatCode>0.00</c:formatCode>
                <c:ptCount val="6"/>
                <c:pt idx="0">
                  <c:v>98.81</c:v>
                </c:pt>
                <c:pt idx="1">
                  <c:v>98.1</c:v>
                </c:pt>
                <c:pt idx="2">
                  <c:v>98.647999999999996</c:v>
                </c:pt>
                <c:pt idx="3">
                  <c:v>98</c:v>
                </c:pt>
                <c:pt idx="4">
                  <c:v>98.72</c:v>
                </c:pt>
                <c:pt idx="5">
                  <c:v>94.33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7-412F-B68A-40371F5799F9}"/>
            </c:ext>
          </c:extLst>
        </c:ser>
        <c:ser>
          <c:idx val="1"/>
          <c:order val="1"/>
          <c:tx>
            <c:strRef>
              <c:f>'Body Regions'!$U$1</c:f>
              <c:strCache>
                <c:ptCount val="1"/>
                <c:pt idx="0">
                  <c:v>CoPAP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Regions'!$U$3,'Body Regions'!$U$5,'Body Regions'!$U$7,'Body Regions'!$U$9,'Body Regions'!$U$11,'Body Regions'!$U$13)</c:f>
              <c:numCache>
                <c:formatCode>0.00</c:formatCode>
                <c:ptCount val="6"/>
                <c:pt idx="0">
                  <c:v>97.85</c:v>
                </c:pt>
                <c:pt idx="1">
                  <c:v>97.82</c:v>
                </c:pt>
                <c:pt idx="2">
                  <c:v>96.81</c:v>
                </c:pt>
                <c:pt idx="3">
                  <c:v>97.19</c:v>
                </c:pt>
                <c:pt idx="4">
                  <c:v>97.35</c:v>
                </c:pt>
                <c:pt idx="5">
                  <c:v>98.04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7-412F-B68A-40371F5799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72294524584765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'Body Regions'!$V$1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Regions'!$V$2,'Body Regions'!$V$4,'Body Regions'!$V$6,'Body Regions'!$V$8,'Body Regions'!$V$10,'Body Regions'!$V$12)</c:f>
              <c:numCache>
                <c:formatCode>0.00</c:formatCode>
                <c:ptCount val="6"/>
                <c:pt idx="0">
                  <c:v>96.95</c:v>
                </c:pt>
                <c:pt idx="1">
                  <c:v>97.36</c:v>
                </c:pt>
                <c:pt idx="2">
                  <c:v>94.38</c:v>
                </c:pt>
                <c:pt idx="3">
                  <c:v>96.51</c:v>
                </c:pt>
                <c:pt idx="4">
                  <c:v>97.31</c:v>
                </c:pt>
                <c:pt idx="5">
                  <c:v>86.06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5-48C7-A1E4-CBBD058AE537}"/>
            </c:ext>
          </c:extLst>
        </c:ser>
        <c:ser>
          <c:idx val="1"/>
          <c:order val="1"/>
          <c:tx>
            <c:strRef>
              <c:f>'Body Regions'!$V$1</c:f>
              <c:strCache>
                <c:ptCount val="1"/>
                <c:pt idx="0">
                  <c:v>CoPML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('Body Regions'!$M$2,'Body Regions'!$M$4,'Body Regions'!$M$6,'Body Regions'!$M$8,'Body Regions'!$M$10,'Body Regions'!$M$12)</c:f>
              <c:strCache>
                <c:ptCount val="6"/>
                <c:pt idx="0">
                  <c:v>Pelvis</c:v>
                </c:pt>
                <c:pt idx="1">
                  <c:v>Lumbar</c:v>
                </c:pt>
                <c:pt idx="2">
                  <c:v>Hip</c:v>
                </c:pt>
                <c:pt idx="3">
                  <c:v>Knee</c:v>
                </c:pt>
                <c:pt idx="4">
                  <c:v>Ankle</c:v>
                </c:pt>
                <c:pt idx="5">
                  <c:v>Multi-region</c:v>
                </c:pt>
              </c:strCache>
            </c:strRef>
          </c:cat>
          <c:val>
            <c:numRef>
              <c:f>('Body Regions'!$V$3,'Body Regions'!$V$5,'Body Regions'!$V$7,'Body Regions'!$V$9,'Body Regions'!$V$11,'Body Regions'!$V$13)</c:f>
              <c:numCache>
                <c:formatCode>0.00</c:formatCode>
                <c:ptCount val="6"/>
                <c:pt idx="0">
                  <c:v>96.98</c:v>
                </c:pt>
                <c:pt idx="1">
                  <c:v>96.44</c:v>
                </c:pt>
                <c:pt idx="2">
                  <c:v>97.35</c:v>
                </c:pt>
                <c:pt idx="3">
                  <c:v>95.76</c:v>
                </c:pt>
                <c:pt idx="4">
                  <c:v>98.09</c:v>
                </c:pt>
                <c:pt idx="5">
                  <c:v>98.09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D5-48C7-A1E4-CBBD058AE53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31050415"/>
        <c:axId val="1731048015"/>
      </c:barChart>
      <c:catAx>
        <c:axId val="173105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68162960568345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'Task-wise'!$B$3</c:f>
              <c:strCache>
                <c:ptCount val="1"/>
                <c:pt idx="0">
                  <c:v>GT</c:v>
                </c:pt>
              </c:strCache>
            </c:strRef>
          </c:tx>
          <c:spPr>
            <a:solidFill>
              <a:schemeClr val="tx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Enwave</c:v>
              </c:pt>
              <c:pt idx="1">
                <c:v> Tec5</c:v>
              </c:pt>
              <c:pt idx="2">
                <c:v> RID</c:v>
              </c:pt>
              <c:pt idx="3">
                <c:v> Fdefender</c:v>
              </c:pt>
            </c:strLit>
          </c:cat>
          <c:val>
            <c:numRef>
              <c:f>('Task-wise'!$F$3,'Task-wise'!$F$10,'Task-wise'!$F$17,'Task-wise'!$F$24)</c:f>
              <c:numCache>
                <c:formatCode>0.00</c:formatCode>
                <c:ptCount val="4"/>
                <c:pt idx="0">
                  <c:v>72.028000000000006</c:v>
                </c:pt>
                <c:pt idx="1">
                  <c:v>77.917000000000002</c:v>
                </c:pt>
                <c:pt idx="2">
                  <c:v>91.123999999999995</c:v>
                </c:pt>
                <c:pt idx="3">
                  <c:v>88.805999999999997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1-4814-9EFD-C1F888BB5B74}"/>
            </c:ext>
          </c:extLst>
        </c:ser>
        <c:ser>
          <c:idx val="1"/>
          <c:order val="1"/>
          <c:tx>
            <c:strRef>
              <c:f>'Task-wise'!$B$4</c:f>
              <c:strCache>
                <c:ptCount val="1"/>
                <c:pt idx="0">
                  <c:v>FPN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Enwave</c:v>
              </c:pt>
              <c:pt idx="1">
                <c:v> Tec5</c:v>
              </c:pt>
              <c:pt idx="2">
                <c:v> RID</c:v>
              </c:pt>
              <c:pt idx="3">
                <c:v> Fdefender</c:v>
              </c:pt>
            </c:strLit>
          </c:cat>
          <c:val>
            <c:numRef>
              <c:f>('Task-wise'!$F$4,'Task-wise'!$F$11,'Task-wise'!$F$18,'Task-wise'!$F$25)</c:f>
              <c:numCache>
                <c:formatCode>0.00</c:formatCode>
                <c:ptCount val="4"/>
                <c:pt idx="0">
                  <c:v>96.849000000000004</c:v>
                </c:pt>
                <c:pt idx="1">
                  <c:v>88.44</c:v>
                </c:pt>
                <c:pt idx="2">
                  <c:v>93.149000000000001</c:v>
                </c:pt>
                <c:pt idx="3">
                  <c:v>93.393000000000001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1-4814-9EFD-C1F888BB5B74}"/>
            </c:ext>
          </c:extLst>
        </c:ser>
        <c:ser>
          <c:idx val="2"/>
          <c:order val="2"/>
          <c:tx>
            <c:strRef>
              <c:f>'Task-wise'!$B$5</c:f>
              <c:strCache>
                <c:ptCount val="1"/>
                <c:pt idx="0">
                  <c:v>UNet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alpha val="52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('Task-wise'!$F$5,'Task-wise'!$F$12,'Task-wise'!$F$19,'Task-wise'!$F$26)</c:f>
              <c:numCache>
                <c:formatCode>0.00</c:formatCode>
                <c:ptCount val="4"/>
                <c:pt idx="0">
                  <c:v>97.757999999999996</c:v>
                </c:pt>
                <c:pt idx="1">
                  <c:v>88.736999999999995</c:v>
                </c:pt>
                <c:pt idx="2">
                  <c:v>93.688000000000002</c:v>
                </c:pt>
                <c:pt idx="3">
                  <c:v>93.251000000000005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1-4814-9EFD-C1F888BB5B74}"/>
            </c:ext>
          </c:extLst>
        </c:ser>
        <c:ser>
          <c:idx val="3"/>
          <c:order val="3"/>
          <c:tx>
            <c:strRef>
              <c:f>'Task-wise'!$B$6</c:f>
              <c:strCache>
                <c:ptCount val="1"/>
                <c:pt idx="0">
                  <c:v>UNet++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('Task-wise'!$F$6,'Task-wise'!$F$13,'Task-wise'!$F$20,'Task-wise'!$F$27)</c:f>
              <c:numCache>
                <c:formatCode>0.00</c:formatCode>
                <c:ptCount val="4"/>
                <c:pt idx="0">
                  <c:v>98.17</c:v>
                </c:pt>
                <c:pt idx="1">
                  <c:v>88.6</c:v>
                </c:pt>
                <c:pt idx="2">
                  <c:v>93.956999999999994</c:v>
                </c:pt>
                <c:pt idx="3">
                  <c:v>93.388999999999996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81-4814-9EFD-C1F888BB5B74}"/>
            </c:ext>
          </c:extLst>
        </c:ser>
        <c:ser>
          <c:idx val="4"/>
          <c:order val="4"/>
          <c:tx>
            <c:strRef>
              <c:f>'Task-wise'!$B$7</c:f>
              <c:strCache>
                <c:ptCount val="1"/>
                <c:pt idx="0">
                  <c:v>UNet3+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('Task-wise'!$F$7,'Task-wise'!$F$14,'Task-wise'!$F$21,'Task-wise'!$F$28)</c:f>
              <c:numCache>
                <c:formatCode>0.00</c:formatCode>
                <c:ptCount val="4"/>
                <c:pt idx="0">
                  <c:v>98.2</c:v>
                </c:pt>
                <c:pt idx="1">
                  <c:v>88.828999999999994</c:v>
                </c:pt>
                <c:pt idx="2">
                  <c:v>94.286000000000001</c:v>
                </c:pt>
                <c:pt idx="3">
                  <c:v>93.503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1-4814-9EFD-C1F888BB5B74}"/>
            </c:ext>
          </c:extLst>
        </c:ser>
        <c:ser>
          <c:idx val="5"/>
          <c:order val="5"/>
          <c:tx>
            <c:strRef>
              <c:f>'Task-wise'!$B$8</c:f>
              <c:strCache>
                <c:ptCount val="1"/>
                <c:pt idx="0">
                  <c:v>MultiResUNet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('Task-wise'!$F$8,'Task-wise'!$F$15,'Task-wise'!$F$22,'Task-wise'!$F$29)</c:f>
              <c:numCache>
                <c:formatCode>0.00</c:formatCode>
                <c:ptCount val="4"/>
                <c:pt idx="0">
                  <c:v>98.277000000000001</c:v>
                </c:pt>
                <c:pt idx="1">
                  <c:v>89.036000000000001</c:v>
                </c:pt>
                <c:pt idx="2">
                  <c:v>94.391999999999996</c:v>
                </c:pt>
                <c:pt idx="3">
                  <c:v>93.531999999999996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81-4814-9EFD-C1F888BB5B74}"/>
            </c:ext>
          </c:extLst>
        </c:ser>
        <c:ser>
          <c:idx val="6"/>
          <c:order val="6"/>
          <c:tx>
            <c:strRef>
              <c:f>'Task-wise'!$B$9</c:f>
              <c:strCache>
                <c:ptCount val="1"/>
                <c:pt idx="0">
                  <c:v>SERS-D2DNet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('Task-wise'!$F$9,'Task-wise'!$F$16,'Task-wise'!$F$23,'Task-wise'!$F$30)</c:f>
              <c:numCache>
                <c:formatCode>0.00</c:formatCode>
                <c:ptCount val="4"/>
                <c:pt idx="0">
                  <c:v>98.284000000000006</c:v>
                </c:pt>
                <c:pt idx="1">
                  <c:v>89.347999999999999</c:v>
                </c:pt>
                <c:pt idx="2">
                  <c:v>94.644999999999996</c:v>
                </c:pt>
                <c:pt idx="3">
                  <c:v>93.564999999999998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81-4814-9EFD-C1F888BB5B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1050415"/>
        <c:axId val="1731048015"/>
      </c:barChart>
      <c:catAx>
        <c:axId val="173105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64808296648671E-2"/>
          <c:y val="0.18657296586253186"/>
          <c:w val="0.9319674489531683"/>
          <c:h val="0.65116046965792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'Task-wise (2)'!$B$3</c:f>
              <c:strCache>
                <c:ptCount val="1"/>
                <c:pt idx="0">
                  <c:v>without baseline correction</c:v>
                </c:pt>
              </c:strCache>
            </c:strRef>
          </c:tx>
          <c:spPr>
            <a:solidFill>
              <a:schemeClr val="tx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Enwave</c:v>
              </c:pt>
              <c:pt idx="1">
                <c:v> Tec5</c:v>
              </c:pt>
              <c:pt idx="2">
                <c:v> RID</c:v>
              </c:pt>
              <c:pt idx="3">
                <c:v> Fdefender</c:v>
              </c:pt>
            </c:strLit>
          </c:cat>
          <c:val>
            <c:numRef>
              <c:f>('Task-wise (2)'!$C$3,'Task-wise (2)'!$C$7,'Task-wise (2)'!$C$11,'Task-wise (2)'!$C$15)</c:f>
              <c:numCache>
                <c:formatCode>0.00</c:formatCode>
                <c:ptCount val="4"/>
                <c:pt idx="0">
                  <c:v>32.26</c:v>
                </c:pt>
                <c:pt idx="1">
                  <c:v>87.79</c:v>
                </c:pt>
                <c:pt idx="2">
                  <c:v>81.2</c:v>
                </c:pt>
                <c:pt idx="3">
                  <c:v>61.41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A-483E-A735-A23F7A44B17D}"/>
            </c:ext>
          </c:extLst>
        </c:ser>
        <c:ser>
          <c:idx val="1"/>
          <c:order val="1"/>
          <c:tx>
            <c:strRef>
              <c:f>'Task-wise (2)'!$B$4</c:f>
              <c:strCache>
                <c:ptCount val="1"/>
                <c:pt idx="0">
                  <c:v>with baseline correction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Enwave</c:v>
              </c:pt>
              <c:pt idx="1">
                <c:v> Tec5</c:v>
              </c:pt>
              <c:pt idx="2">
                <c:v> RID</c:v>
              </c:pt>
              <c:pt idx="3">
                <c:v> Fdefender</c:v>
              </c:pt>
            </c:strLit>
          </c:cat>
          <c:val>
            <c:numRef>
              <c:f>('Task-wise (2)'!$C$4,'Task-wise (2)'!$C$8,'Task-wise (2)'!$C$12,'Task-wise (2)'!$C$16)</c:f>
              <c:numCache>
                <c:formatCode>0.00</c:formatCode>
                <c:ptCount val="4"/>
                <c:pt idx="0">
                  <c:v>92.09</c:v>
                </c:pt>
                <c:pt idx="1">
                  <c:v>98.02</c:v>
                </c:pt>
                <c:pt idx="2">
                  <c:v>96.09</c:v>
                </c:pt>
                <c:pt idx="3">
                  <c:v>96.51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A-483E-A735-A23F7A44B17D}"/>
            </c:ext>
          </c:extLst>
        </c:ser>
        <c:ser>
          <c:idx val="2"/>
          <c:order val="2"/>
          <c:tx>
            <c:strRef>
              <c:f>'Task-wise (2)'!$B$5</c:f>
              <c:strCache>
                <c:ptCount val="1"/>
                <c:pt idx="0">
                  <c:v>with baseline and filter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1">
                  <a:alpha val="52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 (2)'!$C$5,'Task-wise (2)'!$C$9,'Task-wise (2)'!$C$13,'Task-wise (2)'!$C$17)</c:f>
              <c:numCache>
                <c:formatCode>0.00</c:formatCode>
                <c:ptCount val="4"/>
                <c:pt idx="0">
                  <c:v>97.58</c:v>
                </c:pt>
                <c:pt idx="1">
                  <c:v>99.95</c:v>
                </c:pt>
                <c:pt idx="2">
                  <c:v>96.54</c:v>
                </c:pt>
                <c:pt idx="3">
                  <c:v>99.82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9A-483E-A735-A23F7A44B17D}"/>
            </c:ext>
          </c:extLst>
        </c:ser>
        <c:ser>
          <c:idx val="3"/>
          <c:order val="3"/>
          <c:tx>
            <c:strRef>
              <c:f>'Task-wise (2)'!$B$6</c:f>
              <c:strCache>
                <c:ptCount val="1"/>
                <c:pt idx="0">
                  <c:v>with baseline, filter, and DT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('Task-wise (2)'!$C$6,'Task-wise (2)'!$C$10,'Task-wise (2)'!$C$14,'Task-wise (2)'!$C$18)</c:f>
              <c:numCache>
                <c:formatCode>0.00</c:formatCode>
                <c:ptCount val="4"/>
                <c:pt idx="0">
                  <c:v>99.98</c:v>
                </c:pt>
                <c:pt idx="1">
                  <c:v>99.98</c:v>
                </c:pt>
                <c:pt idx="2">
                  <c:v>98.87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9A-483E-A735-A23F7A44B1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1050415"/>
        <c:axId val="1731048015"/>
      </c:barChart>
      <c:catAx>
        <c:axId val="173105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48015"/>
        <c:crosses val="autoZero"/>
        <c:auto val="1"/>
        <c:lblAlgn val="ctr"/>
        <c:lblOffset val="100"/>
        <c:noMultiLvlLbl val="0"/>
      </c:catAx>
      <c:valAx>
        <c:axId val="17310480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464927</xdr:colOff>
      <xdr:row>19</xdr:row>
      <xdr:rowOff>138546</xdr:rowOff>
    </xdr:from>
    <xdr:to>
      <xdr:col>16</xdr:col>
      <xdr:colOff>14655</xdr:colOff>
      <xdr:row>24</xdr:row>
      <xdr:rowOff>135603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F08E0-52CA-4708-9012-305117758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462289</xdr:colOff>
      <xdr:row>25</xdr:row>
      <xdr:rowOff>46066</xdr:rowOff>
    </xdr:from>
    <xdr:to>
      <xdr:col>16</xdr:col>
      <xdr:colOff>17585</xdr:colOff>
      <xdr:row>30</xdr:row>
      <xdr:rowOff>40352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490749-785D-4183-84C1-A77E15556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456161</xdr:colOff>
      <xdr:row>30</xdr:row>
      <xdr:rowOff>119842</xdr:rowOff>
    </xdr:from>
    <xdr:to>
      <xdr:col>16</xdr:col>
      <xdr:colOff>20516</xdr:colOff>
      <xdr:row>35</xdr:row>
      <xdr:rowOff>114128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AA3EDE-FCFF-4B0B-949B-EB435FB06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452164</xdr:colOff>
      <xdr:row>36</xdr:row>
      <xdr:rowOff>29441</xdr:rowOff>
    </xdr:from>
    <xdr:to>
      <xdr:col>16</xdr:col>
      <xdr:colOff>26377</xdr:colOff>
      <xdr:row>41</xdr:row>
      <xdr:rowOff>23726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76EA5E-C4D7-4662-8E29-BED13A0B1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439375</xdr:colOff>
      <xdr:row>41</xdr:row>
      <xdr:rowOff>91946</xdr:rowOff>
    </xdr:from>
    <xdr:to>
      <xdr:col>16</xdr:col>
      <xdr:colOff>26377</xdr:colOff>
      <xdr:row>46</xdr:row>
      <xdr:rowOff>86233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7F0ADF-DA52-4868-B9B0-759A58899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434552</xdr:colOff>
      <xdr:row>46</xdr:row>
      <xdr:rowOff>157462</xdr:rowOff>
    </xdr:from>
    <xdr:to>
      <xdr:col>16</xdr:col>
      <xdr:colOff>29308</xdr:colOff>
      <xdr:row>51</xdr:row>
      <xdr:rowOff>154518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EC2D5D-C9C4-42E5-9639-373D49D21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424322</xdr:colOff>
      <xdr:row>52</xdr:row>
      <xdr:rowOff>68952</xdr:rowOff>
    </xdr:from>
    <xdr:to>
      <xdr:col>16</xdr:col>
      <xdr:colOff>35170</xdr:colOff>
      <xdr:row>57</xdr:row>
      <xdr:rowOff>63239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6AC161-5978-4D04-A5BB-D53095A15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388807</xdr:colOff>
      <xdr:row>65</xdr:row>
      <xdr:rowOff>125011</xdr:rowOff>
    </xdr:from>
    <xdr:to>
      <xdr:col>16</xdr:col>
      <xdr:colOff>5863</xdr:colOff>
      <xdr:row>72</xdr:row>
      <xdr:rowOff>108439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B1AE0D-E2A7-4C73-969B-FC5E4AEC4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427893</xdr:colOff>
      <xdr:row>58</xdr:row>
      <xdr:rowOff>87924</xdr:rowOff>
    </xdr:from>
    <xdr:to>
      <xdr:col>16</xdr:col>
      <xdr:colOff>38741</xdr:colOff>
      <xdr:row>63</xdr:row>
      <xdr:rowOff>82210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77BFC-7449-46AE-859F-6C6B80A8C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807720</xdr:colOff>
      <xdr:row>21</xdr:row>
      <xdr:rowOff>0</xdr:rowOff>
    </xdr:from>
    <xdr:to>
      <xdr:col>15</xdr:col>
      <xdr:colOff>632460</xdr:colOff>
      <xdr:row>25</xdr:row>
      <xdr:rowOff>177166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9BAC84-1541-441F-B6D6-AE6B122FB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807720</xdr:colOff>
      <xdr:row>26</xdr:row>
      <xdr:rowOff>11430</xdr:rowOff>
    </xdr:from>
    <xdr:to>
      <xdr:col>15</xdr:col>
      <xdr:colOff>632460</xdr:colOff>
      <xdr:row>31</xdr:row>
      <xdr:rowOff>5716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B3D7F3-9E41-45A5-8F40-FCD1DEC39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803910</xdr:colOff>
      <xdr:row>31</xdr:row>
      <xdr:rowOff>22860</xdr:rowOff>
    </xdr:from>
    <xdr:to>
      <xdr:col>15</xdr:col>
      <xdr:colOff>628650</xdr:colOff>
      <xdr:row>36</xdr:row>
      <xdr:rowOff>17146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B707AB-5A68-4B47-9F84-E363FC118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803910</xdr:colOff>
      <xdr:row>36</xdr:row>
      <xdr:rowOff>57150</xdr:rowOff>
    </xdr:from>
    <xdr:to>
      <xdr:col>15</xdr:col>
      <xdr:colOff>628650</xdr:colOff>
      <xdr:row>41</xdr:row>
      <xdr:rowOff>51436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722C55-B271-4C49-AEDA-F86358161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811530</xdr:colOff>
      <xdr:row>41</xdr:row>
      <xdr:rowOff>102870</xdr:rowOff>
    </xdr:from>
    <xdr:to>
      <xdr:col>15</xdr:col>
      <xdr:colOff>636270</xdr:colOff>
      <xdr:row>46</xdr:row>
      <xdr:rowOff>97156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99C162-645A-4C74-AD75-763981559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16</xdr:col>
      <xdr:colOff>0</xdr:colOff>
      <xdr:row>51</xdr:row>
      <xdr:rowOff>177166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0F75336-D830-4E27-A69D-7BF7D0269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7620</xdr:colOff>
      <xdr:row>52</xdr:row>
      <xdr:rowOff>60960</xdr:rowOff>
    </xdr:from>
    <xdr:to>
      <xdr:col>16</xdr:col>
      <xdr:colOff>7620</xdr:colOff>
      <xdr:row>57</xdr:row>
      <xdr:rowOff>55246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ECA2DC0-4975-4308-AA7D-487232E97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812703</xdr:colOff>
      <xdr:row>64</xdr:row>
      <xdr:rowOff>56271</xdr:rowOff>
    </xdr:from>
    <xdr:to>
      <xdr:col>15</xdr:col>
      <xdr:colOff>636857</xdr:colOff>
      <xdr:row>69</xdr:row>
      <xdr:rowOff>50557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1C47ED0-CB3C-4669-9E71-8CBB8BAC4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805961</xdr:colOff>
      <xdr:row>58</xdr:row>
      <xdr:rowOff>14655</xdr:rowOff>
    </xdr:from>
    <xdr:to>
      <xdr:col>15</xdr:col>
      <xdr:colOff>630115</xdr:colOff>
      <xdr:row>63</xdr:row>
      <xdr:rowOff>8940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182B1-2051-4626-9654-5319742F5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0</xdr:rowOff>
    </xdr:from>
    <xdr:to>
      <xdr:col>25</xdr:col>
      <xdr:colOff>197428</xdr:colOff>
      <xdr:row>18</xdr:row>
      <xdr:rowOff>172317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A87810-7C30-471A-A0EE-323B07B46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432995</xdr:colOff>
      <xdr:row>19</xdr:row>
      <xdr:rowOff>65442</xdr:rowOff>
    </xdr:from>
    <xdr:to>
      <xdr:col>25</xdr:col>
      <xdr:colOff>184653</xdr:colOff>
      <xdr:row>24</xdr:row>
      <xdr:rowOff>62499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AE1D1F4-1B25-4623-9947-37E568B1C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438599</xdr:colOff>
      <xdr:row>24</xdr:row>
      <xdr:rowOff>123040</xdr:rowOff>
    </xdr:from>
    <xdr:to>
      <xdr:col>25</xdr:col>
      <xdr:colOff>192274</xdr:colOff>
      <xdr:row>29</xdr:row>
      <xdr:rowOff>120098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674E6FF-1E8A-42D9-89CA-22BF09FE0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437478</xdr:colOff>
      <xdr:row>30</xdr:row>
      <xdr:rowOff>672</xdr:rowOff>
    </xdr:from>
    <xdr:to>
      <xdr:col>25</xdr:col>
      <xdr:colOff>189136</xdr:colOff>
      <xdr:row>34</xdr:row>
      <xdr:rowOff>181505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40339E-0986-4CC8-A310-D1B07631E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439272</xdr:colOff>
      <xdr:row>35</xdr:row>
      <xdr:rowOff>98611</xdr:rowOff>
    </xdr:from>
    <xdr:to>
      <xdr:col>25</xdr:col>
      <xdr:colOff>190930</xdr:colOff>
      <xdr:row>40</xdr:row>
      <xdr:rowOff>95668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FDABE81-10E9-4FE0-A2E3-042EC552F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439271</xdr:colOff>
      <xdr:row>40</xdr:row>
      <xdr:rowOff>161365</xdr:rowOff>
    </xdr:from>
    <xdr:to>
      <xdr:col>25</xdr:col>
      <xdr:colOff>190929</xdr:colOff>
      <xdr:row>45</xdr:row>
      <xdr:rowOff>158421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1C5D831-B053-454C-A44B-A0B5171EE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4483</xdr:colOff>
      <xdr:row>46</xdr:row>
      <xdr:rowOff>121024</xdr:rowOff>
    </xdr:from>
    <xdr:to>
      <xdr:col>25</xdr:col>
      <xdr:colOff>199894</xdr:colOff>
      <xdr:row>51</xdr:row>
      <xdr:rowOff>118080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D6983D-FA3F-48CC-B466-94C94AFCA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40342</xdr:colOff>
      <xdr:row>52</xdr:row>
      <xdr:rowOff>26894</xdr:rowOff>
    </xdr:from>
    <xdr:to>
      <xdr:col>25</xdr:col>
      <xdr:colOff>235753</xdr:colOff>
      <xdr:row>57</xdr:row>
      <xdr:rowOff>23951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3825DB4-A084-4E72-A2ED-9F1FF6AC5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224790</xdr:colOff>
      <xdr:row>0</xdr:row>
      <xdr:rowOff>205740</xdr:rowOff>
    </xdr:from>
    <xdr:to>
      <xdr:col>23</xdr:col>
      <xdr:colOff>335280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2280E-1BBA-4775-823E-DAC18EEA8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2</xdr:row>
      <xdr:rowOff>171450</xdr:rowOff>
    </xdr:from>
    <xdr:to>
      <xdr:col>18</xdr:col>
      <xdr:colOff>346710</xdr:colOff>
      <xdr:row>14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1274A2-C033-4F9F-97E8-C33AD1822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231A-AA9C-43FD-AA89-C9334EE3492D}">
  <dimension ref="A1:J19"/>
  <sheetViews>
    <sheetView topLeftCell="A53" zoomScale="130" zoomScaleNormal="130" workbookViewId="0">
      <selection activeCell="S59" sqref="S59"/>
    </sheetView>
  </sheetViews>
  <sheetFormatPr defaultRowHeight="14.4" x14ac:dyDescent="0.55000000000000004"/>
  <cols>
    <col min="1" max="1" width="6.47265625" bestFit="1" customWidth="1"/>
    <col min="2" max="2" width="4.3125" bestFit="1" customWidth="1"/>
    <col min="3" max="3" width="6.3671875" bestFit="1" customWidth="1"/>
    <col min="4" max="4" width="5.15625" bestFit="1" customWidth="1"/>
    <col min="5" max="5" width="6.7890625" bestFit="1" customWidth="1"/>
    <col min="6" max="6" width="7.15625" bestFit="1" customWidth="1"/>
    <col min="7" max="7" width="5.5234375" bestFit="1" customWidth="1"/>
    <col min="8" max="8" width="7.578125" bestFit="1" customWidth="1"/>
    <col min="9" max="9" width="5.89453125" bestFit="1" customWidth="1"/>
    <col min="10" max="10" width="6.3125" bestFit="1" customWidth="1"/>
    <col min="11" max="11" width="5.26171875" bestFit="1" customWidth="1"/>
    <col min="12" max="15" width="6.15625" bestFit="1" customWidth="1"/>
  </cols>
  <sheetData>
    <row r="1" spans="1:10" x14ac:dyDescent="0.55000000000000004">
      <c r="A1" t="s">
        <v>42</v>
      </c>
      <c r="B1" t="s">
        <v>30</v>
      </c>
      <c r="C1" s="30" t="s">
        <v>35</v>
      </c>
      <c r="D1" s="30" t="s">
        <v>31</v>
      </c>
      <c r="E1" s="30" t="s">
        <v>36</v>
      </c>
      <c r="F1" s="30" t="s">
        <v>37</v>
      </c>
      <c r="G1" s="30" t="s">
        <v>32</v>
      </c>
      <c r="H1" s="30" t="s">
        <v>38</v>
      </c>
      <c r="I1" s="30" t="s">
        <v>39</v>
      </c>
      <c r="J1" s="30" t="s">
        <v>40</v>
      </c>
    </row>
    <row r="2" spans="1:10" x14ac:dyDescent="0.55000000000000004">
      <c r="A2" s="32">
        <v>4</v>
      </c>
      <c r="B2" t="s">
        <v>33</v>
      </c>
      <c r="C2" s="30">
        <v>98.8</v>
      </c>
      <c r="D2" s="30">
        <v>99.91</v>
      </c>
      <c r="E2" s="30">
        <v>98.87</v>
      </c>
      <c r="F2" s="30">
        <v>99.91</v>
      </c>
      <c r="G2" s="30">
        <v>95.5</v>
      </c>
      <c r="H2" s="30">
        <v>98.23</v>
      </c>
      <c r="I2" s="30">
        <v>89.05</v>
      </c>
      <c r="J2" s="30">
        <v>93.9</v>
      </c>
    </row>
    <row r="3" spans="1:10" x14ac:dyDescent="0.55000000000000004">
      <c r="A3" s="32"/>
      <c r="B3" t="s">
        <v>34</v>
      </c>
      <c r="C3" s="30">
        <v>98.73</v>
      </c>
      <c r="D3" s="30">
        <v>99.57</v>
      </c>
      <c r="E3" s="30">
        <v>97.81</v>
      </c>
      <c r="F3" s="30">
        <v>98.53</v>
      </c>
      <c r="G3" s="30">
        <v>84.26</v>
      </c>
      <c r="H3" s="30">
        <v>98.42</v>
      </c>
      <c r="I3" s="30">
        <v>95.35</v>
      </c>
      <c r="J3" s="30">
        <v>95.32</v>
      </c>
    </row>
    <row r="4" spans="1:10" x14ac:dyDescent="0.55000000000000004">
      <c r="A4" s="32">
        <v>5</v>
      </c>
      <c r="B4" t="s">
        <v>33</v>
      </c>
      <c r="C4" s="30">
        <v>99.41</v>
      </c>
      <c r="D4" s="30">
        <v>99.61</v>
      </c>
      <c r="E4" s="30">
        <v>99.41</v>
      </c>
      <c r="F4" s="30">
        <v>99.94</v>
      </c>
      <c r="G4" s="30">
        <v>36.65</v>
      </c>
      <c r="H4" s="30">
        <v>75.83</v>
      </c>
      <c r="I4" s="30">
        <v>98.76</v>
      </c>
      <c r="J4" s="30">
        <v>89.86</v>
      </c>
    </row>
    <row r="5" spans="1:10" x14ac:dyDescent="0.55000000000000004">
      <c r="A5" s="32"/>
      <c r="B5" t="s">
        <v>34</v>
      </c>
      <c r="C5" s="30">
        <v>99.84</v>
      </c>
      <c r="D5" s="30">
        <v>99.83</v>
      </c>
      <c r="E5" s="30">
        <v>98.15</v>
      </c>
      <c r="F5" s="30">
        <v>99.33</v>
      </c>
      <c r="G5" s="30">
        <v>44.95</v>
      </c>
      <c r="H5" s="30">
        <v>75.86</v>
      </c>
      <c r="I5" s="30">
        <v>99.32</v>
      </c>
      <c r="J5" s="30">
        <v>87.15</v>
      </c>
    </row>
    <row r="6" spans="1:10" x14ac:dyDescent="0.55000000000000004">
      <c r="A6" s="32">
        <v>6</v>
      </c>
      <c r="B6" t="s">
        <v>33</v>
      </c>
      <c r="C6" s="30">
        <v>98.73</v>
      </c>
      <c r="D6" s="30">
        <v>99.02</v>
      </c>
      <c r="E6" s="30">
        <v>99.2</v>
      </c>
      <c r="F6" s="30">
        <v>99.9</v>
      </c>
      <c r="G6" s="30">
        <v>93.77</v>
      </c>
      <c r="H6" s="30">
        <v>96.62</v>
      </c>
      <c r="I6" s="30">
        <v>98.46</v>
      </c>
      <c r="J6" s="30">
        <v>95.01</v>
      </c>
    </row>
    <row r="7" spans="1:10" x14ac:dyDescent="0.55000000000000004">
      <c r="A7" s="32"/>
      <c r="B7" t="s">
        <v>34</v>
      </c>
      <c r="C7" s="30">
        <v>98.83</v>
      </c>
      <c r="D7" s="30">
        <v>98.56</v>
      </c>
      <c r="E7" s="30">
        <v>96.97</v>
      </c>
      <c r="F7" s="30">
        <v>99.43</v>
      </c>
      <c r="G7" s="30">
        <v>95.44</v>
      </c>
      <c r="H7" s="30">
        <v>94.12</v>
      </c>
      <c r="I7" s="30">
        <v>98.53</v>
      </c>
      <c r="J7" s="30">
        <v>96.32</v>
      </c>
    </row>
    <row r="8" spans="1:10" x14ac:dyDescent="0.55000000000000004">
      <c r="A8" s="32">
        <v>7</v>
      </c>
      <c r="B8" t="s">
        <v>33</v>
      </c>
      <c r="C8" s="30">
        <v>98.89</v>
      </c>
      <c r="D8" s="30">
        <v>98.91</v>
      </c>
      <c r="E8" s="30">
        <v>97.91</v>
      </c>
      <c r="F8" s="30">
        <v>99.41</v>
      </c>
      <c r="G8" s="30">
        <v>95.08</v>
      </c>
      <c r="H8" s="30">
        <v>97.63</v>
      </c>
      <c r="I8" s="30">
        <v>99.23</v>
      </c>
      <c r="J8" s="30">
        <v>99.14</v>
      </c>
    </row>
    <row r="9" spans="1:10" x14ac:dyDescent="0.55000000000000004">
      <c r="A9" s="32"/>
      <c r="B9" t="s">
        <v>34</v>
      </c>
      <c r="C9" s="30">
        <v>99.86</v>
      </c>
      <c r="D9" s="30">
        <v>99.88</v>
      </c>
      <c r="E9" s="30">
        <v>95.23</v>
      </c>
      <c r="F9" s="30">
        <v>99.19</v>
      </c>
      <c r="G9" s="30">
        <v>87.37</v>
      </c>
      <c r="H9" s="30">
        <v>99.18</v>
      </c>
      <c r="I9" s="30">
        <v>99.03</v>
      </c>
      <c r="J9" s="30">
        <v>69.290000000000006</v>
      </c>
    </row>
    <row r="10" spans="1:10" x14ac:dyDescent="0.55000000000000004">
      <c r="A10" s="32">
        <v>8</v>
      </c>
      <c r="B10" t="s">
        <v>33</v>
      </c>
      <c r="C10" s="30">
        <v>99.53</v>
      </c>
      <c r="D10" s="30">
        <v>99.77</v>
      </c>
      <c r="E10" s="30">
        <v>98.07</v>
      </c>
      <c r="F10" s="30">
        <v>99.41</v>
      </c>
      <c r="G10" s="30">
        <v>75.13</v>
      </c>
      <c r="H10" s="30">
        <v>85.35</v>
      </c>
      <c r="I10" s="30">
        <v>94.58</v>
      </c>
      <c r="J10" s="30">
        <v>79.650000000000006</v>
      </c>
    </row>
    <row r="11" spans="1:10" x14ac:dyDescent="0.55000000000000004">
      <c r="A11" s="32"/>
      <c r="B11" t="s">
        <v>34</v>
      </c>
      <c r="C11" s="30">
        <v>99.71</v>
      </c>
      <c r="D11" s="30">
        <v>98.91</v>
      </c>
      <c r="E11" s="30">
        <v>97.1</v>
      </c>
      <c r="F11" s="30">
        <v>99.39</v>
      </c>
      <c r="G11" s="30">
        <v>74.73</v>
      </c>
      <c r="H11" s="30">
        <v>86.73</v>
      </c>
      <c r="I11" s="30">
        <v>96.93</v>
      </c>
      <c r="J11" s="30">
        <v>81.52</v>
      </c>
    </row>
    <row r="12" spans="1:10" x14ac:dyDescent="0.55000000000000004">
      <c r="A12" s="32">
        <v>9</v>
      </c>
      <c r="B12" t="s">
        <v>33</v>
      </c>
      <c r="C12" s="30">
        <v>99.2</v>
      </c>
      <c r="D12" s="30">
        <v>99.79</v>
      </c>
      <c r="E12" s="30">
        <v>97.83</v>
      </c>
      <c r="F12" s="30">
        <v>99.64</v>
      </c>
      <c r="G12" s="30">
        <v>97.12</v>
      </c>
      <c r="H12" s="30">
        <v>97.51</v>
      </c>
      <c r="I12" s="30">
        <v>98.95</v>
      </c>
      <c r="J12" s="30">
        <v>91.15</v>
      </c>
    </row>
    <row r="13" spans="1:10" x14ac:dyDescent="0.55000000000000004">
      <c r="A13" s="32"/>
      <c r="B13" t="s">
        <v>34</v>
      </c>
      <c r="C13" s="30">
        <v>98.48</v>
      </c>
      <c r="D13" s="30">
        <v>97.77</v>
      </c>
      <c r="E13" s="30">
        <v>97.48</v>
      </c>
      <c r="F13" s="30">
        <v>98.69</v>
      </c>
      <c r="G13" s="30">
        <v>95.57</v>
      </c>
      <c r="H13" s="30">
        <v>94.93</v>
      </c>
      <c r="I13" s="30">
        <v>97.97</v>
      </c>
      <c r="J13" s="30">
        <v>98.11</v>
      </c>
    </row>
    <row r="14" spans="1:10" x14ac:dyDescent="0.55000000000000004">
      <c r="A14" s="32">
        <v>10</v>
      </c>
      <c r="B14" t="s">
        <v>33</v>
      </c>
      <c r="C14" s="30">
        <v>99.33</v>
      </c>
      <c r="D14" s="30">
        <v>99.84</v>
      </c>
      <c r="E14" s="30">
        <v>97.36</v>
      </c>
      <c r="F14" s="30">
        <v>99.87</v>
      </c>
      <c r="G14" s="30">
        <v>74.790000000000006</v>
      </c>
      <c r="H14" s="30">
        <v>97.13</v>
      </c>
      <c r="I14" s="30">
        <v>96.9</v>
      </c>
      <c r="J14" s="30">
        <v>84.61</v>
      </c>
    </row>
    <row r="15" spans="1:10" x14ac:dyDescent="0.55000000000000004">
      <c r="A15" s="32"/>
      <c r="B15" t="s">
        <v>34</v>
      </c>
      <c r="C15" s="30">
        <v>99.49</v>
      </c>
      <c r="D15" s="30">
        <v>99.54</v>
      </c>
      <c r="E15" s="30">
        <v>98.79</v>
      </c>
      <c r="F15" s="30">
        <v>99.64</v>
      </c>
      <c r="G15" s="30">
        <v>94.57</v>
      </c>
      <c r="H15" s="30">
        <v>91.32</v>
      </c>
      <c r="I15" s="30">
        <v>96.42</v>
      </c>
      <c r="J15" s="30">
        <v>89.07</v>
      </c>
    </row>
    <row r="16" spans="1:10" x14ac:dyDescent="0.55000000000000004">
      <c r="A16" s="32">
        <v>11</v>
      </c>
      <c r="B16" t="s">
        <v>33</v>
      </c>
      <c r="C16" s="30">
        <v>99.15</v>
      </c>
      <c r="D16" s="30">
        <v>98.92</v>
      </c>
      <c r="E16" s="30">
        <v>99.03</v>
      </c>
      <c r="F16" s="30">
        <v>99.52</v>
      </c>
      <c r="G16" s="30">
        <v>90.8</v>
      </c>
      <c r="H16" s="30">
        <v>95.7</v>
      </c>
      <c r="I16" s="30">
        <v>93.04</v>
      </c>
      <c r="J16" s="30">
        <v>76.930000000000007</v>
      </c>
    </row>
    <row r="17" spans="1:10" x14ac:dyDescent="0.55000000000000004">
      <c r="A17" s="32"/>
      <c r="B17" t="s">
        <v>34</v>
      </c>
      <c r="C17" s="30">
        <v>98.76</v>
      </c>
      <c r="D17" s="30">
        <v>98.87</v>
      </c>
      <c r="E17" s="30">
        <v>97.41</v>
      </c>
      <c r="F17" s="30">
        <v>99.6</v>
      </c>
      <c r="G17" s="30">
        <v>94.65</v>
      </c>
      <c r="H17" s="30">
        <v>86.2</v>
      </c>
      <c r="I17" s="30">
        <v>94.09</v>
      </c>
      <c r="J17" s="30">
        <v>89.3</v>
      </c>
    </row>
    <row r="18" spans="1:10" x14ac:dyDescent="0.55000000000000004">
      <c r="A18" s="32">
        <v>12</v>
      </c>
      <c r="B18" t="s">
        <v>33</v>
      </c>
      <c r="C18" s="30">
        <v>99.91</v>
      </c>
      <c r="D18" s="30">
        <v>99.84</v>
      </c>
      <c r="E18" s="30">
        <v>98.61</v>
      </c>
      <c r="F18" s="30">
        <v>99.48</v>
      </c>
      <c r="G18" s="30">
        <v>94.23</v>
      </c>
      <c r="H18" s="30">
        <v>94.93</v>
      </c>
      <c r="I18" s="30">
        <v>97.92</v>
      </c>
      <c r="J18" s="30">
        <v>96.58</v>
      </c>
    </row>
    <row r="19" spans="1:10" x14ac:dyDescent="0.55000000000000004">
      <c r="B19" t="s">
        <v>34</v>
      </c>
      <c r="C19" s="30">
        <v>99.64</v>
      </c>
      <c r="D19" s="30">
        <v>99.53</v>
      </c>
      <c r="E19" s="30">
        <v>99.83</v>
      </c>
      <c r="F19" s="30">
        <v>99.71</v>
      </c>
      <c r="G19" s="30">
        <v>97.69</v>
      </c>
      <c r="H19" s="30">
        <v>88.51</v>
      </c>
      <c r="I19" s="30">
        <v>98.63</v>
      </c>
      <c r="J19" s="30">
        <v>98.24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D8AE-AB85-462E-9814-FEE2C02965A3}">
  <dimension ref="A1:J19"/>
  <sheetViews>
    <sheetView tabSelected="1" zoomScale="130" zoomScaleNormal="130" workbookViewId="0">
      <selection activeCell="P8" sqref="P8"/>
    </sheetView>
  </sheetViews>
  <sheetFormatPr defaultRowHeight="14.4" x14ac:dyDescent="0.55000000000000004"/>
  <cols>
    <col min="1" max="1" width="11.26171875" bestFit="1" customWidth="1"/>
    <col min="2" max="2" width="4.3125" bestFit="1" customWidth="1"/>
    <col min="3" max="3" width="6.3671875" bestFit="1" customWidth="1"/>
    <col min="4" max="4" width="5.15625" bestFit="1" customWidth="1"/>
    <col min="5" max="5" width="6.7890625" bestFit="1" customWidth="1"/>
    <col min="6" max="6" width="7.15625" bestFit="1" customWidth="1"/>
    <col min="7" max="7" width="5.5234375" bestFit="1" customWidth="1"/>
    <col min="8" max="8" width="7.578125" bestFit="1" customWidth="1"/>
    <col min="9" max="9" width="5.89453125" bestFit="1" customWidth="1"/>
    <col min="10" max="10" width="6.3125" bestFit="1" customWidth="1"/>
    <col min="11" max="11" width="5.26171875" bestFit="1" customWidth="1"/>
    <col min="12" max="15" width="6.15625" bestFit="1" customWidth="1"/>
  </cols>
  <sheetData>
    <row r="1" spans="1:10" x14ac:dyDescent="0.55000000000000004">
      <c r="A1" t="s">
        <v>41</v>
      </c>
      <c r="B1" t="s">
        <v>30</v>
      </c>
      <c r="C1" t="s">
        <v>35</v>
      </c>
      <c r="D1" t="s">
        <v>31</v>
      </c>
      <c r="E1" t="s">
        <v>36</v>
      </c>
      <c r="F1" t="s">
        <v>37</v>
      </c>
      <c r="G1" t="s">
        <v>32</v>
      </c>
      <c r="H1" t="s">
        <v>38</v>
      </c>
      <c r="I1" t="s">
        <v>39</v>
      </c>
      <c r="J1" t="s">
        <v>40</v>
      </c>
    </row>
    <row r="2" spans="1:10" x14ac:dyDescent="0.55000000000000004">
      <c r="A2" s="31">
        <v>0.9</v>
      </c>
      <c r="B2" t="s">
        <v>33</v>
      </c>
      <c r="C2" s="30">
        <v>93.79</v>
      </c>
      <c r="D2" s="30">
        <v>99.93</v>
      </c>
      <c r="E2" s="30">
        <v>99.33</v>
      </c>
      <c r="F2" s="30">
        <v>99.91</v>
      </c>
      <c r="G2" s="30">
        <v>65.89</v>
      </c>
      <c r="H2" s="30">
        <v>99.33</v>
      </c>
      <c r="I2" s="30">
        <v>96.01</v>
      </c>
      <c r="J2" s="30">
        <v>81.42</v>
      </c>
    </row>
    <row r="3" spans="1:10" x14ac:dyDescent="0.55000000000000004">
      <c r="A3" s="31"/>
      <c r="B3" t="s">
        <v>34</v>
      </c>
      <c r="C3" s="30">
        <v>51.74</v>
      </c>
      <c r="D3" s="30">
        <v>99.55</v>
      </c>
      <c r="E3" s="30">
        <v>91.05</v>
      </c>
      <c r="F3" s="30">
        <v>99.55</v>
      </c>
      <c r="G3" s="30">
        <v>61.19</v>
      </c>
      <c r="H3" s="30">
        <v>95.34</v>
      </c>
      <c r="I3" s="30">
        <v>81.25</v>
      </c>
      <c r="J3" s="30">
        <v>90.98</v>
      </c>
    </row>
    <row r="4" spans="1:10" x14ac:dyDescent="0.55000000000000004">
      <c r="A4" s="31">
        <v>1.8</v>
      </c>
      <c r="B4" t="s">
        <v>33</v>
      </c>
      <c r="C4" s="30">
        <v>99.55</v>
      </c>
      <c r="D4" s="30">
        <v>99.96</v>
      </c>
      <c r="E4" s="30">
        <v>99.8</v>
      </c>
      <c r="F4" s="30">
        <v>99.97</v>
      </c>
      <c r="G4" s="30">
        <v>98.44</v>
      </c>
      <c r="H4" s="30">
        <v>99.64</v>
      </c>
      <c r="I4" s="30">
        <v>99.81</v>
      </c>
      <c r="J4" s="30">
        <v>98.51</v>
      </c>
    </row>
    <row r="5" spans="1:10" x14ac:dyDescent="0.55000000000000004">
      <c r="A5" s="31"/>
      <c r="B5" t="s">
        <v>34</v>
      </c>
      <c r="C5" s="30">
        <v>99.86</v>
      </c>
      <c r="D5" s="30">
        <v>99.99</v>
      </c>
      <c r="E5" s="30">
        <v>99.87</v>
      </c>
      <c r="F5" s="30">
        <v>99.99</v>
      </c>
      <c r="G5" s="30">
        <v>98.03</v>
      </c>
      <c r="H5" s="30">
        <v>99.89</v>
      </c>
      <c r="I5" s="30">
        <v>99.76</v>
      </c>
      <c r="J5" s="30">
        <v>97.82</v>
      </c>
    </row>
    <row r="6" spans="1:10" x14ac:dyDescent="0.55000000000000004">
      <c r="A6" s="31">
        <v>2.7</v>
      </c>
      <c r="B6" t="s">
        <v>33</v>
      </c>
      <c r="C6" s="30">
        <v>99.92</v>
      </c>
      <c r="D6" s="30">
        <v>99.98</v>
      </c>
      <c r="E6" s="30">
        <v>99.93</v>
      </c>
      <c r="F6" s="30">
        <v>99.97</v>
      </c>
      <c r="G6" s="30">
        <v>98.44</v>
      </c>
      <c r="H6" s="30">
        <v>99.5</v>
      </c>
      <c r="I6" s="30">
        <v>99.89</v>
      </c>
      <c r="J6" s="30">
        <v>99.66</v>
      </c>
    </row>
    <row r="7" spans="1:10" x14ac:dyDescent="0.55000000000000004">
      <c r="A7" s="31"/>
      <c r="B7" t="s">
        <v>34</v>
      </c>
      <c r="C7" s="30">
        <v>99.93</v>
      </c>
      <c r="D7" s="30">
        <v>99.99</v>
      </c>
      <c r="E7" s="30">
        <v>99.9</v>
      </c>
      <c r="F7" s="30">
        <v>99.98</v>
      </c>
      <c r="G7" s="30">
        <v>99.53</v>
      </c>
      <c r="H7" s="30">
        <v>98.52</v>
      </c>
      <c r="I7" s="30">
        <v>99.73</v>
      </c>
      <c r="J7" s="30">
        <v>99.24</v>
      </c>
    </row>
    <row r="8" spans="1:10" x14ac:dyDescent="0.55000000000000004">
      <c r="A8" s="31">
        <v>3.6</v>
      </c>
      <c r="B8" t="s">
        <v>33</v>
      </c>
      <c r="C8" s="30">
        <v>99.94</v>
      </c>
      <c r="D8" s="30">
        <v>99.91</v>
      </c>
      <c r="E8" s="30">
        <v>99.82</v>
      </c>
      <c r="F8" s="30">
        <v>99.98</v>
      </c>
      <c r="G8" s="30">
        <v>99.61</v>
      </c>
      <c r="H8" s="30">
        <v>99.79</v>
      </c>
      <c r="I8" s="30">
        <v>99.51</v>
      </c>
      <c r="J8" s="30">
        <v>99.84</v>
      </c>
    </row>
    <row r="9" spans="1:10" x14ac:dyDescent="0.55000000000000004">
      <c r="A9" s="31"/>
      <c r="B9" t="s">
        <v>34</v>
      </c>
      <c r="C9" s="30">
        <v>99.96</v>
      </c>
      <c r="D9" s="30">
        <v>99.98</v>
      </c>
      <c r="E9" s="30">
        <v>99.87</v>
      </c>
      <c r="F9" s="30">
        <v>99.97</v>
      </c>
      <c r="G9" s="30">
        <v>99.54</v>
      </c>
      <c r="H9" s="30">
        <v>99.61</v>
      </c>
      <c r="I9" s="30">
        <v>99.63</v>
      </c>
      <c r="J9" s="30">
        <v>99.86</v>
      </c>
    </row>
    <row r="10" spans="1:10" x14ac:dyDescent="0.55000000000000004">
      <c r="A10" s="31">
        <v>4.5</v>
      </c>
      <c r="B10" t="s">
        <v>33</v>
      </c>
      <c r="C10" s="30">
        <v>99.94</v>
      </c>
      <c r="D10" s="30">
        <v>99.87</v>
      </c>
      <c r="E10" s="30">
        <v>99.36</v>
      </c>
      <c r="F10" s="30">
        <v>99.8</v>
      </c>
      <c r="G10" s="30">
        <v>99.69</v>
      </c>
      <c r="H10" s="30">
        <v>99.74</v>
      </c>
      <c r="I10" s="30">
        <v>99.73</v>
      </c>
      <c r="J10" s="30">
        <v>99.48</v>
      </c>
    </row>
    <row r="11" spans="1:10" x14ac:dyDescent="0.55000000000000004">
      <c r="A11" s="31"/>
      <c r="B11" t="s">
        <v>34</v>
      </c>
      <c r="C11" s="30">
        <v>99.94</v>
      </c>
      <c r="D11" s="30">
        <v>99.95</v>
      </c>
      <c r="E11" s="30">
        <v>99.82</v>
      </c>
      <c r="F11" s="30">
        <v>99.91</v>
      </c>
      <c r="G11" s="30">
        <v>99.36</v>
      </c>
      <c r="H11" s="30">
        <v>99.21</v>
      </c>
      <c r="I11" s="30">
        <v>99.89</v>
      </c>
      <c r="J11" s="30">
        <v>99.76</v>
      </c>
    </row>
    <row r="12" spans="1:10" x14ac:dyDescent="0.55000000000000004">
      <c r="A12" s="31">
        <v>5.4</v>
      </c>
      <c r="B12" t="s">
        <v>33</v>
      </c>
      <c r="C12" s="30">
        <v>99.96</v>
      </c>
      <c r="D12" s="30">
        <v>99.7</v>
      </c>
      <c r="E12" s="30">
        <v>98.95</v>
      </c>
      <c r="F12" s="30">
        <v>99.45</v>
      </c>
      <c r="G12" s="30">
        <v>96.36</v>
      </c>
      <c r="H12" s="30">
        <v>99.79</v>
      </c>
      <c r="I12" s="30">
        <v>96.47</v>
      </c>
      <c r="J12" s="30">
        <v>97.04</v>
      </c>
    </row>
    <row r="13" spans="1:10" x14ac:dyDescent="0.55000000000000004">
      <c r="A13" s="31"/>
      <c r="B13" t="s">
        <v>34</v>
      </c>
      <c r="C13" s="30">
        <v>99.94</v>
      </c>
      <c r="D13" s="30">
        <v>99.74</v>
      </c>
      <c r="E13" s="30">
        <v>99.42</v>
      </c>
      <c r="F13" s="30">
        <v>99.72</v>
      </c>
      <c r="G13" s="30">
        <v>98.31</v>
      </c>
      <c r="H13" s="30">
        <v>99.73</v>
      </c>
      <c r="I13" s="30">
        <v>99.23</v>
      </c>
      <c r="J13" s="30">
        <v>99.45</v>
      </c>
    </row>
    <row r="14" spans="1:10" x14ac:dyDescent="0.55000000000000004">
      <c r="A14" s="31">
        <v>6.3</v>
      </c>
      <c r="B14" t="s">
        <v>33</v>
      </c>
      <c r="C14" s="30">
        <v>99.51</v>
      </c>
      <c r="D14" s="30">
        <v>99.69</v>
      </c>
      <c r="E14" s="30">
        <v>99.45</v>
      </c>
      <c r="F14" s="30">
        <v>99.71</v>
      </c>
      <c r="G14" s="30">
        <v>99.49</v>
      </c>
      <c r="H14" s="30">
        <v>98.44</v>
      </c>
      <c r="I14" s="30">
        <v>99.11</v>
      </c>
      <c r="J14" s="30">
        <v>99.43</v>
      </c>
    </row>
    <row r="15" spans="1:10" x14ac:dyDescent="0.55000000000000004">
      <c r="A15" s="31"/>
      <c r="B15" t="s">
        <v>34</v>
      </c>
      <c r="C15" s="30">
        <v>99.93</v>
      </c>
      <c r="D15" s="30">
        <v>99.96</v>
      </c>
      <c r="E15" s="30">
        <v>99.77</v>
      </c>
      <c r="F15" s="30">
        <v>99.98</v>
      </c>
      <c r="G15" s="30">
        <v>98.79</v>
      </c>
      <c r="H15" s="30">
        <v>95.35</v>
      </c>
      <c r="I15" s="30">
        <v>98.96</v>
      </c>
      <c r="J15" s="30">
        <v>99.07</v>
      </c>
    </row>
    <row r="16" spans="1:10" x14ac:dyDescent="0.55000000000000004">
      <c r="A16" s="31">
        <v>8.1</v>
      </c>
      <c r="B16" t="s">
        <v>33</v>
      </c>
      <c r="C16" s="30">
        <v>99.97</v>
      </c>
      <c r="D16" s="30">
        <v>99.89</v>
      </c>
      <c r="E16" s="30">
        <v>99.85</v>
      </c>
      <c r="F16" s="30">
        <v>99.88</v>
      </c>
      <c r="G16" s="30">
        <v>97.81</v>
      </c>
      <c r="H16" s="30">
        <v>99.69</v>
      </c>
      <c r="I16" s="30">
        <v>99.07</v>
      </c>
      <c r="J16" s="30">
        <v>99.05</v>
      </c>
    </row>
    <row r="17" spans="1:10" x14ac:dyDescent="0.55000000000000004">
      <c r="A17" s="31"/>
      <c r="B17" t="s">
        <v>34</v>
      </c>
      <c r="C17" s="30">
        <v>99.92</v>
      </c>
      <c r="D17" s="30">
        <v>99.98</v>
      </c>
      <c r="E17" s="30">
        <v>99.94</v>
      </c>
      <c r="F17" s="30">
        <v>99.99</v>
      </c>
      <c r="G17" s="30">
        <v>97.51</v>
      </c>
      <c r="H17" s="30">
        <v>99.6</v>
      </c>
      <c r="I17" s="30">
        <v>99.48</v>
      </c>
      <c r="J17" s="30">
        <v>97.22</v>
      </c>
    </row>
    <row r="18" spans="1:10" x14ac:dyDescent="0.55000000000000004">
      <c r="A18" s="31">
        <v>9.9</v>
      </c>
      <c r="B18" t="s">
        <v>33</v>
      </c>
      <c r="C18" s="30">
        <v>99.82</v>
      </c>
      <c r="D18" s="30">
        <v>99.66</v>
      </c>
      <c r="E18" s="30">
        <v>99.54</v>
      </c>
      <c r="F18" s="30">
        <v>99.64</v>
      </c>
      <c r="G18" s="30">
        <v>97.41</v>
      </c>
      <c r="H18" s="30">
        <v>99.22</v>
      </c>
      <c r="I18" s="30">
        <v>99.29</v>
      </c>
      <c r="J18" s="30">
        <v>98.95</v>
      </c>
    </row>
    <row r="19" spans="1:10" x14ac:dyDescent="0.55000000000000004">
      <c r="A19" s="31"/>
      <c r="B19" t="s">
        <v>34</v>
      </c>
      <c r="C19" s="30">
        <v>99.93</v>
      </c>
      <c r="D19" s="30">
        <v>99.94</v>
      </c>
      <c r="E19" s="30">
        <v>99.93</v>
      </c>
      <c r="F19" s="30">
        <v>99.99</v>
      </c>
      <c r="G19" s="30">
        <v>96.47</v>
      </c>
      <c r="H19" s="30">
        <v>99.02</v>
      </c>
      <c r="I19" s="30">
        <v>99.52</v>
      </c>
      <c r="J19" s="30">
        <v>97.15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1F1A-71D9-4B59-BA6D-E42869FFD2CB}">
  <dimension ref="A1:V19"/>
  <sheetViews>
    <sheetView zoomScaleNormal="100" workbookViewId="0">
      <selection activeCell="C16" sqref="C16:J17"/>
    </sheetView>
  </sheetViews>
  <sheetFormatPr defaultRowHeight="14.4" x14ac:dyDescent="0.55000000000000004"/>
  <cols>
    <col min="1" max="1" width="21.62890625" bestFit="1" customWidth="1"/>
    <col min="2" max="2" width="4.3125" bestFit="1" customWidth="1"/>
    <col min="3" max="3" width="6.3671875" bestFit="1" customWidth="1"/>
    <col min="4" max="4" width="5.15625" bestFit="1" customWidth="1"/>
    <col min="5" max="5" width="6.7890625" bestFit="1" customWidth="1"/>
    <col min="6" max="6" width="7.15625" bestFit="1" customWidth="1"/>
    <col min="7" max="7" width="5.5234375" bestFit="1" customWidth="1"/>
    <col min="8" max="8" width="7.578125" bestFit="1" customWidth="1"/>
    <col min="9" max="9" width="5.89453125" bestFit="1" customWidth="1"/>
    <col min="10" max="10" width="6.3125" bestFit="1" customWidth="1"/>
    <col min="11" max="11" width="5.83984375" customWidth="1"/>
    <col min="12" max="12" width="6.15625" bestFit="1" customWidth="1"/>
    <col min="13" max="13" width="10.41796875" bestFit="1" customWidth="1"/>
    <col min="14" max="14" width="4.3125" bestFit="1" customWidth="1"/>
    <col min="15" max="15" width="6.3671875" bestFit="1" customWidth="1"/>
    <col min="16" max="16" width="5.15625" bestFit="1" customWidth="1"/>
    <col min="17" max="17" width="6.7890625" bestFit="1" customWidth="1"/>
    <col min="18" max="18" width="7.15625" bestFit="1" customWidth="1"/>
    <col min="19" max="19" width="5.5234375" bestFit="1" customWidth="1"/>
    <col min="20" max="20" width="7.578125" bestFit="1" customWidth="1"/>
    <col min="21" max="21" width="5.89453125" bestFit="1" customWidth="1"/>
    <col min="22" max="22" width="6.3125" bestFit="1" customWidth="1"/>
  </cols>
  <sheetData>
    <row r="1" spans="1:22" ht="14.7" thickBot="1" x14ac:dyDescent="0.6">
      <c r="A1" s="34" t="s">
        <v>43</v>
      </c>
      <c r="B1" s="34" t="s">
        <v>30</v>
      </c>
      <c r="C1" s="35" t="s">
        <v>35</v>
      </c>
      <c r="D1" s="35" t="s">
        <v>31</v>
      </c>
      <c r="E1" s="35" t="s">
        <v>36</v>
      </c>
      <c r="F1" s="35" t="s">
        <v>37</v>
      </c>
      <c r="G1" s="35" t="s">
        <v>32</v>
      </c>
      <c r="H1" s="35" t="s">
        <v>38</v>
      </c>
      <c r="I1" s="35" t="s">
        <v>39</v>
      </c>
      <c r="J1" s="36" t="s">
        <v>40</v>
      </c>
      <c r="M1" s="34" t="s">
        <v>43</v>
      </c>
      <c r="N1" s="34" t="s">
        <v>30</v>
      </c>
      <c r="O1" s="35" t="s">
        <v>35</v>
      </c>
      <c r="P1" s="35" t="s">
        <v>31</v>
      </c>
      <c r="Q1" s="35" t="s">
        <v>36</v>
      </c>
      <c r="R1" s="35" t="s">
        <v>37</v>
      </c>
      <c r="S1" s="35" t="s">
        <v>32</v>
      </c>
      <c r="T1" s="35" t="s">
        <v>38</v>
      </c>
      <c r="U1" s="35" t="s">
        <v>39</v>
      </c>
      <c r="V1" s="36" t="s">
        <v>40</v>
      </c>
    </row>
    <row r="2" spans="1:22" x14ac:dyDescent="0.55000000000000004">
      <c r="A2" s="51" t="s">
        <v>44</v>
      </c>
      <c r="B2" s="33" t="s">
        <v>33</v>
      </c>
      <c r="C2" s="42">
        <v>99.1</v>
      </c>
      <c r="D2" s="42">
        <v>99.75</v>
      </c>
      <c r="E2" s="42">
        <v>99.35</v>
      </c>
      <c r="F2" s="42">
        <v>99.72</v>
      </c>
      <c r="G2" s="42">
        <v>95.69</v>
      </c>
      <c r="H2" s="42">
        <v>98.48</v>
      </c>
      <c r="I2" s="42">
        <v>98.81</v>
      </c>
      <c r="J2" s="43">
        <v>96.95</v>
      </c>
      <c r="M2" s="46" t="s">
        <v>44</v>
      </c>
      <c r="N2" s="33" t="s">
        <v>33</v>
      </c>
      <c r="O2" s="42">
        <v>99.1</v>
      </c>
      <c r="P2" s="42">
        <v>99.75</v>
      </c>
      <c r="Q2" s="42">
        <v>99.35</v>
      </c>
      <c r="R2" s="42">
        <v>99.72</v>
      </c>
      <c r="S2" s="42">
        <v>95.69</v>
      </c>
      <c r="T2" s="42">
        <v>98.48</v>
      </c>
      <c r="U2" s="42">
        <v>98.81</v>
      </c>
      <c r="V2" s="43">
        <v>96.95</v>
      </c>
    </row>
    <row r="3" spans="1:22" ht="14.7" thickBot="1" x14ac:dyDescent="0.6">
      <c r="A3" s="50"/>
      <c r="B3" s="38" t="s">
        <v>34</v>
      </c>
      <c r="C3" s="40">
        <v>94.91</v>
      </c>
      <c r="D3" s="40">
        <v>99.8</v>
      </c>
      <c r="E3" s="40">
        <v>98.85</v>
      </c>
      <c r="F3" s="40">
        <v>99.82</v>
      </c>
      <c r="G3" s="40">
        <v>92.15</v>
      </c>
      <c r="H3" s="40">
        <v>98.73</v>
      </c>
      <c r="I3" s="40">
        <v>97.85</v>
      </c>
      <c r="J3" s="41">
        <v>96.98</v>
      </c>
      <c r="M3" s="47"/>
      <c r="N3" s="38" t="s">
        <v>34</v>
      </c>
      <c r="O3" s="40">
        <v>94.91</v>
      </c>
      <c r="P3" s="40">
        <v>99.8</v>
      </c>
      <c r="Q3" s="40">
        <v>98.85</v>
      </c>
      <c r="R3" s="40">
        <v>99.82</v>
      </c>
      <c r="S3" s="40">
        <v>92.15</v>
      </c>
      <c r="T3" s="40">
        <v>98.73</v>
      </c>
      <c r="U3" s="40">
        <v>97.85</v>
      </c>
      <c r="V3" s="41">
        <v>96.98</v>
      </c>
    </row>
    <row r="4" spans="1:22" x14ac:dyDescent="0.55000000000000004">
      <c r="A4" s="51" t="s">
        <v>45</v>
      </c>
      <c r="B4" s="33" t="s">
        <v>33</v>
      </c>
      <c r="C4" s="42">
        <v>98.41</v>
      </c>
      <c r="D4" s="42">
        <v>99.29</v>
      </c>
      <c r="E4" s="42">
        <v>98.94</v>
      </c>
      <c r="F4" s="42">
        <v>99.29</v>
      </c>
      <c r="G4" s="42">
        <v>91.77</v>
      </c>
      <c r="H4" s="42">
        <v>97.59</v>
      </c>
      <c r="I4" s="42">
        <v>98.1</v>
      </c>
      <c r="J4" s="43">
        <v>97.36</v>
      </c>
      <c r="M4" s="46" t="s">
        <v>45</v>
      </c>
      <c r="N4" s="33" t="s">
        <v>33</v>
      </c>
      <c r="O4" s="42">
        <v>98.41</v>
      </c>
      <c r="P4" s="42">
        <v>99.29</v>
      </c>
      <c r="Q4" s="42">
        <v>98.94</v>
      </c>
      <c r="R4" s="42">
        <v>99.29</v>
      </c>
      <c r="S4" s="42">
        <v>91.77</v>
      </c>
      <c r="T4" s="42">
        <v>97.59</v>
      </c>
      <c r="U4" s="42">
        <v>98.1</v>
      </c>
      <c r="V4" s="43">
        <v>97.36</v>
      </c>
    </row>
    <row r="5" spans="1:22" ht="14.7" thickBot="1" x14ac:dyDescent="0.6">
      <c r="A5" s="50"/>
      <c r="B5" s="38" t="s">
        <v>34</v>
      </c>
      <c r="C5" s="40">
        <v>93.891000000000005</v>
      </c>
      <c r="D5" s="40">
        <v>99.64</v>
      </c>
      <c r="E5" s="40">
        <v>98.68</v>
      </c>
      <c r="F5" s="40">
        <v>99.73</v>
      </c>
      <c r="G5" s="40">
        <v>88.5</v>
      </c>
      <c r="H5" s="40">
        <v>97.42</v>
      </c>
      <c r="I5" s="40">
        <v>97.82</v>
      </c>
      <c r="J5" s="41">
        <v>96.44</v>
      </c>
      <c r="M5" s="47"/>
      <c r="N5" s="38" t="s">
        <v>34</v>
      </c>
      <c r="O5" s="40">
        <v>93.891000000000005</v>
      </c>
      <c r="P5" s="40">
        <v>99.64</v>
      </c>
      <c r="Q5" s="40">
        <v>98.68</v>
      </c>
      <c r="R5" s="40">
        <v>99.73</v>
      </c>
      <c r="S5" s="40">
        <v>88.5</v>
      </c>
      <c r="T5" s="40">
        <v>97.42</v>
      </c>
      <c r="U5" s="40">
        <v>97.82</v>
      </c>
      <c r="V5" s="41">
        <v>96.44</v>
      </c>
    </row>
    <row r="6" spans="1:22" x14ac:dyDescent="0.55000000000000004">
      <c r="A6" s="51" t="s">
        <v>46</v>
      </c>
      <c r="B6" s="33" t="s">
        <v>33</v>
      </c>
      <c r="C6" s="42">
        <v>99.33</v>
      </c>
      <c r="D6" s="42">
        <v>99.85</v>
      </c>
      <c r="E6" s="42">
        <v>99.5</v>
      </c>
      <c r="F6" s="42">
        <v>99.86</v>
      </c>
      <c r="G6" s="42">
        <v>92.95</v>
      </c>
      <c r="H6" s="42">
        <v>98.93</v>
      </c>
      <c r="I6" s="42">
        <v>98.647999999999996</v>
      </c>
      <c r="J6" s="43">
        <v>94.38</v>
      </c>
      <c r="M6" s="46" t="s">
        <v>46</v>
      </c>
      <c r="N6" s="33" t="s">
        <v>33</v>
      </c>
      <c r="O6" s="42">
        <v>99.33</v>
      </c>
      <c r="P6" s="42">
        <v>99.85</v>
      </c>
      <c r="Q6" s="42">
        <v>99.5</v>
      </c>
      <c r="R6" s="42">
        <v>99.86</v>
      </c>
      <c r="S6" s="42">
        <v>92.95</v>
      </c>
      <c r="T6" s="42">
        <v>98.93</v>
      </c>
      <c r="U6" s="42">
        <v>98.647999999999996</v>
      </c>
      <c r="V6" s="43">
        <v>94.38</v>
      </c>
    </row>
    <row r="7" spans="1:22" ht="14.7" thickBot="1" x14ac:dyDescent="0.6">
      <c r="A7" s="50"/>
      <c r="B7" s="38" t="s">
        <v>34</v>
      </c>
      <c r="C7" s="40">
        <v>95.33</v>
      </c>
      <c r="D7" s="40">
        <v>99.775999999999996</v>
      </c>
      <c r="E7" s="40">
        <v>98.39</v>
      </c>
      <c r="F7" s="40">
        <v>99.8</v>
      </c>
      <c r="G7" s="40">
        <v>93.14</v>
      </c>
      <c r="H7" s="40">
        <v>98.69</v>
      </c>
      <c r="I7" s="40">
        <v>96.81</v>
      </c>
      <c r="J7" s="41">
        <v>97.35</v>
      </c>
      <c r="M7" s="47"/>
      <c r="N7" s="38" t="s">
        <v>34</v>
      </c>
      <c r="O7" s="40">
        <v>95.33</v>
      </c>
      <c r="P7" s="40">
        <v>99.775999999999996</v>
      </c>
      <c r="Q7" s="40">
        <v>98.39</v>
      </c>
      <c r="R7" s="40">
        <v>99.8</v>
      </c>
      <c r="S7" s="40">
        <v>93.14</v>
      </c>
      <c r="T7" s="40">
        <v>98.69</v>
      </c>
      <c r="U7" s="40">
        <v>96.81</v>
      </c>
      <c r="V7" s="41">
        <v>97.35</v>
      </c>
    </row>
    <row r="8" spans="1:22" x14ac:dyDescent="0.55000000000000004">
      <c r="A8" s="51" t="s">
        <v>47</v>
      </c>
      <c r="B8" s="33" t="s">
        <v>33</v>
      </c>
      <c r="C8" s="42">
        <v>99.35</v>
      </c>
      <c r="D8" s="42">
        <v>99.75</v>
      </c>
      <c r="E8" s="42">
        <v>99.2</v>
      </c>
      <c r="F8" s="42">
        <v>99.69</v>
      </c>
      <c r="G8" s="42">
        <v>97.87</v>
      </c>
      <c r="H8" s="42">
        <v>97.97</v>
      </c>
      <c r="I8" s="42">
        <v>98</v>
      </c>
      <c r="J8" s="43">
        <v>96.51</v>
      </c>
      <c r="M8" s="46" t="s">
        <v>47</v>
      </c>
      <c r="N8" s="33" t="s">
        <v>33</v>
      </c>
      <c r="O8" s="42">
        <v>99.35</v>
      </c>
      <c r="P8" s="42">
        <v>99.75</v>
      </c>
      <c r="Q8" s="42">
        <v>99.2</v>
      </c>
      <c r="R8" s="42">
        <v>99.69</v>
      </c>
      <c r="S8" s="42">
        <v>97.87</v>
      </c>
      <c r="T8" s="42">
        <v>97.97</v>
      </c>
      <c r="U8" s="42">
        <v>98</v>
      </c>
      <c r="V8" s="43">
        <v>96.51</v>
      </c>
    </row>
    <row r="9" spans="1:22" ht="14.7" thickBot="1" x14ac:dyDescent="0.6">
      <c r="A9" s="50"/>
      <c r="B9" s="38" t="s">
        <v>34</v>
      </c>
      <c r="C9" s="40">
        <v>95.69</v>
      </c>
      <c r="D9" s="40">
        <v>99.75</v>
      </c>
      <c r="E9" s="40">
        <v>98.32</v>
      </c>
      <c r="F9" s="40">
        <v>99.61</v>
      </c>
      <c r="G9" s="40">
        <v>95.11</v>
      </c>
      <c r="H9" s="40">
        <v>98.08</v>
      </c>
      <c r="I9" s="40">
        <v>97.19</v>
      </c>
      <c r="J9" s="41">
        <v>95.76</v>
      </c>
      <c r="M9" s="47"/>
      <c r="N9" s="38" t="s">
        <v>34</v>
      </c>
      <c r="O9" s="40">
        <v>95.69</v>
      </c>
      <c r="P9" s="40">
        <v>99.75</v>
      </c>
      <c r="Q9" s="40">
        <v>98.32</v>
      </c>
      <c r="R9" s="40">
        <v>99.61</v>
      </c>
      <c r="S9" s="40">
        <v>95.11</v>
      </c>
      <c r="T9" s="40">
        <v>98.08</v>
      </c>
      <c r="U9" s="40">
        <v>97.19</v>
      </c>
      <c r="V9" s="41">
        <v>95.76</v>
      </c>
    </row>
    <row r="10" spans="1:22" x14ac:dyDescent="0.55000000000000004">
      <c r="A10" s="51" t="s">
        <v>48</v>
      </c>
      <c r="B10" s="33" t="s">
        <v>33</v>
      </c>
      <c r="C10" s="42">
        <v>99.17</v>
      </c>
      <c r="D10" s="42">
        <v>99.84</v>
      </c>
      <c r="E10" s="42">
        <v>99.54</v>
      </c>
      <c r="F10" s="42">
        <v>99.81</v>
      </c>
      <c r="G10" s="42">
        <v>95.78</v>
      </c>
      <c r="H10" s="42">
        <v>99.48</v>
      </c>
      <c r="I10" s="42">
        <v>98.72</v>
      </c>
      <c r="J10" s="43">
        <v>97.31</v>
      </c>
      <c r="M10" s="46" t="s">
        <v>48</v>
      </c>
      <c r="N10" s="33" t="s">
        <v>33</v>
      </c>
      <c r="O10" s="42">
        <v>99.17</v>
      </c>
      <c r="P10" s="42">
        <v>99.84</v>
      </c>
      <c r="Q10" s="42">
        <v>99.54</v>
      </c>
      <c r="R10" s="42">
        <v>99.81</v>
      </c>
      <c r="S10" s="42">
        <v>95.78</v>
      </c>
      <c r="T10" s="42">
        <v>99.48</v>
      </c>
      <c r="U10" s="42">
        <v>98.72</v>
      </c>
      <c r="V10" s="43">
        <v>97.31</v>
      </c>
    </row>
    <row r="11" spans="1:22" ht="14.7" thickBot="1" x14ac:dyDescent="0.6">
      <c r="A11" s="50"/>
      <c r="B11" s="38" t="s">
        <v>34</v>
      </c>
      <c r="C11" s="40">
        <v>94.48</v>
      </c>
      <c r="D11" s="40">
        <v>99.9</v>
      </c>
      <c r="E11" s="40">
        <v>98.76</v>
      </c>
      <c r="F11" s="40">
        <v>99.9</v>
      </c>
      <c r="G11" s="40">
        <v>94.42</v>
      </c>
      <c r="H11" s="40">
        <v>98.22</v>
      </c>
      <c r="I11" s="40">
        <v>97.35</v>
      </c>
      <c r="J11" s="41">
        <v>98.09</v>
      </c>
      <c r="M11" s="47"/>
      <c r="N11" s="38" t="s">
        <v>34</v>
      </c>
      <c r="O11" s="40">
        <v>94.48</v>
      </c>
      <c r="P11" s="40">
        <v>99.9</v>
      </c>
      <c r="Q11" s="40">
        <v>98.76</v>
      </c>
      <c r="R11" s="40">
        <v>99.9</v>
      </c>
      <c r="S11" s="40">
        <v>94.42</v>
      </c>
      <c r="T11" s="40">
        <v>98.22</v>
      </c>
      <c r="U11" s="40">
        <v>97.35</v>
      </c>
      <c r="V11" s="41">
        <v>98.09</v>
      </c>
    </row>
    <row r="12" spans="1:22" x14ac:dyDescent="0.55000000000000004">
      <c r="A12" s="51" t="s">
        <v>51</v>
      </c>
      <c r="B12" s="33" t="s">
        <v>33</v>
      </c>
      <c r="C12" s="44">
        <v>98.99</v>
      </c>
      <c r="D12" s="42">
        <v>99.82</v>
      </c>
      <c r="E12" s="42">
        <v>99.19</v>
      </c>
      <c r="F12" s="42">
        <v>99.58</v>
      </c>
      <c r="G12" s="42">
        <v>96.09</v>
      </c>
      <c r="H12" s="42">
        <v>99.25</v>
      </c>
      <c r="I12" s="42">
        <v>98.12</v>
      </c>
      <c r="J12" s="43">
        <v>96.82</v>
      </c>
      <c r="M12" s="48" t="s">
        <v>49</v>
      </c>
      <c r="N12" s="37" t="s">
        <v>33</v>
      </c>
      <c r="O12" s="30">
        <v>99.41</v>
      </c>
      <c r="P12" s="30">
        <v>99.85</v>
      </c>
      <c r="Q12" s="30">
        <v>99.71</v>
      </c>
      <c r="R12" s="30">
        <v>99.85</v>
      </c>
      <c r="S12" s="30">
        <v>67.069999999999993</v>
      </c>
      <c r="T12" s="30">
        <v>74.3</v>
      </c>
      <c r="U12" s="30">
        <v>94.33</v>
      </c>
      <c r="V12" s="39">
        <v>86.06</v>
      </c>
    </row>
    <row r="13" spans="1:22" ht="14.7" thickBot="1" x14ac:dyDescent="0.6">
      <c r="A13" s="50"/>
      <c r="B13" s="38" t="s">
        <v>34</v>
      </c>
      <c r="C13" s="45">
        <v>94.63</v>
      </c>
      <c r="D13" s="40">
        <v>99.85</v>
      </c>
      <c r="E13" s="40">
        <v>98.72</v>
      </c>
      <c r="F13" s="40">
        <v>99.88</v>
      </c>
      <c r="G13" s="40">
        <v>94.39</v>
      </c>
      <c r="H13" s="40">
        <v>98.27</v>
      </c>
      <c r="I13" s="40">
        <v>97.36</v>
      </c>
      <c r="J13" s="41">
        <v>98.1</v>
      </c>
      <c r="M13" s="47"/>
      <c r="N13" s="38" t="s">
        <v>34</v>
      </c>
      <c r="O13" s="40">
        <v>94.7</v>
      </c>
      <c r="P13" s="40">
        <v>96.95</v>
      </c>
      <c r="Q13" s="40">
        <v>91.74</v>
      </c>
      <c r="R13" s="40">
        <v>95.1</v>
      </c>
      <c r="S13" s="40">
        <v>94.91</v>
      </c>
      <c r="T13" s="40">
        <v>98.63</v>
      </c>
      <c r="U13" s="40">
        <v>98.04</v>
      </c>
      <c r="V13" s="41">
        <v>98.09</v>
      </c>
    </row>
    <row r="14" spans="1:22" x14ac:dyDescent="0.55000000000000004">
      <c r="A14" s="51" t="s">
        <v>50</v>
      </c>
      <c r="B14" s="37" t="s">
        <v>33</v>
      </c>
      <c r="C14" s="30">
        <v>99.05</v>
      </c>
      <c r="D14" s="30">
        <v>99.81</v>
      </c>
      <c r="E14" s="30">
        <v>99.25</v>
      </c>
      <c r="F14" s="30">
        <v>99.59</v>
      </c>
      <c r="G14" s="30">
        <v>96.52</v>
      </c>
      <c r="H14" s="30">
        <v>99.2</v>
      </c>
      <c r="I14" s="30">
        <v>98.06</v>
      </c>
      <c r="J14" s="39">
        <v>96.98</v>
      </c>
    </row>
    <row r="15" spans="1:22" ht="14.7" thickBot="1" x14ac:dyDescent="0.6">
      <c r="A15" s="50"/>
      <c r="B15" s="38" t="s">
        <v>34</v>
      </c>
      <c r="C15" s="40">
        <v>94.68</v>
      </c>
      <c r="D15" s="40">
        <v>99.85</v>
      </c>
      <c r="E15" s="40">
        <v>98.68</v>
      </c>
      <c r="F15" s="40">
        <v>99.86</v>
      </c>
      <c r="G15" s="40">
        <v>94.42</v>
      </c>
      <c r="H15" s="40">
        <v>98.3</v>
      </c>
      <c r="I15" s="40">
        <v>97.33</v>
      </c>
      <c r="J15" s="41">
        <v>98.07</v>
      </c>
    </row>
    <row r="16" spans="1:22" x14ac:dyDescent="0.55000000000000004">
      <c r="A16" s="51" t="s">
        <v>52</v>
      </c>
      <c r="B16" s="33" t="s">
        <v>33</v>
      </c>
      <c r="C16" s="44">
        <v>99.52</v>
      </c>
      <c r="D16" s="42">
        <v>99.88</v>
      </c>
      <c r="E16" s="42">
        <v>99.54</v>
      </c>
      <c r="F16" s="42">
        <v>99.8</v>
      </c>
      <c r="G16" s="42">
        <v>97.15</v>
      </c>
      <c r="H16" s="42">
        <v>99.28</v>
      </c>
      <c r="I16" s="42">
        <v>98.84</v>
      </c>
      <c r="J16" s="43">
        <v>97.45</v>
      </c>
    </row>
    <row r="17" spans="1:10" ht="14.7" thickBot="1" x14ac:dyDescent="0.6">
      <c r="A17" s="50"/>
      <c r="B17" s="38" t="s">
        <v>34</v>
      </c>
      <c r="C17" s="45">
        <v>95.48</v>
      </c>
      <c r="D17" s="40">
        <v>99.87</v>
      </c>
      <c r="E17" s="40">
        <v>98.81</v>
      </c>
      <c r="F17" s="40">
        <v>99.88</v>
      </c>
      <c r="G17" s="40">
        <v>94.45</v>
      </c>
      <c r="H17" s="40">
        <v>98.59</v>
      </c>
      <c r="I17" s="40">
        <v>97.5</v>
      </c>
      <c r="J17" s="41">
        <v>98.21</v>
      </c>
    </row>
    <row r="18" spans="1:10" x14ac:dyDescent="0.55000000000000004">
      <c r="A18" s="49" t="s">
        <v>49</v>
      </c>
      <c r="B18" s="37" t="s">
        <v>33</v>
      </c>
      <c r="C18" s="30">
        <v>99.41</v>
      </c>
      <c r="D18" s="30">
        <v>99.85</v>
      </c>
      <c r="E18" s="30">
        <v>99.71</v>
      </c>
      <c r="F18" s="30">
        <v>99.85</v>
      </c>
      <c r="G18" s="30">
        <v>67.069999999999993</v>
      </c>
      <c r="H18" s="30">
        <v>74.3</v>
      </c>
      <c r="I18" s="30">
        <v>94.33</v>
      </c>
      <c r="J18" s="39">
        <v>86.06</v>
      </c>
    </row>
    <row r="19" spans="1:10" ht="14.7" thickBot="1" x14ac:dyDescent="0.6">
      <c r="A19" s="50"/>
      <c r="B19" s="38" t="s">
        <v>34</v>
      </c>
      <c r="C19" s="40">
        <v>94.7</v>
      </c>
      <c r="D19" s="40">
        <v>96.95</v>
      </c>
      <c r="E19" s="40">
        <v>91.74</v>
      </c>
      <c r="F19" s="40">
        <v>95.1</v>
      </c>
      <c r="G19" s="40">
        <v>94.91</v>
      </c>
      <c r="H19" s="40">
        <v>98.63</v>
      </c>
      <c r="I19" s="40">
        <v>98.04</v>
      </c>
      <c r="J19" s="41">
        <v>98.09</v>
      </c>
    </row>
  </sheetData>
  <mergeCells count="9">
    <mergeCell ref="A18:A19"/>
    <mergeCell ref="A12:A13"/>
    <mergeCell ref="A14:A15"/>
    <mergeCell ref="A16:A17"/>
    <mergeCell ref="A2:A3"/>
    <mergeCell ref="A4:A5"/>
    <mergeCell ref="A6:A7"/>
    <mergeCell ref="A8:A9"/>
    <mergeCell ref="A10:A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4127-8AE6-4B9E-BF7D-816C8D6C6A4F}">
  <dimension ref="A1:H37"/>
  <sheetViews>
    <sheetView showGridLines="0" workbookViewId="0">
      <selection activeCell="N23" sqref="N23"/>
    </sheetView>
  </sheetViews>
  <sheetFormatPr defaultRowHeight="14.4" x14ac:dyDescent="0.55000000000000004"/>
  <cols>
    <col min="1" max="1" width="8.68359375" bestFit="1" customWidth="1"/>
    <col min="2" max="2" width="17.578125" bestFit="1" customWidth="1"/>
    <col min="3" max="3" width="4.41796875" bestFit="1" customWidth="1"/>
    <col min="4" max="4" width="5.26171875" bestFit="1" customWidth="1"/>
    <col min="5" max="8" width="5.15625" bestFit="1" customWidth="1"/>
  </cols>
  <sheetData>
    <row r="1" spans="1:8" ht="18.600000000000001" customHeight="1" thickBot="1" x14ac:dyDescent="0.6">
      <c r="A1" s="57" t="s">
        <v>20</v>
      </c>
      <c r="B1" s="52" t="s">
        <v>0</v>
      </c>
      <c r="C1" s="54" t="s">
        <v>6</v>
      </c>
      <c r="D1" s="55"/>
      <c r="E1" s="55"/>
      <c r="F1" s="55"/>
      <c r="G1" s="55"/>
      <c r="H1" s="56"/>
    </row>
    <row r="2" spans="1:8" ht="18.600000000000001" customHeight="1" thickBot="1" x14ac:dyDescent="0.6">
      <c r="A2" s="58"/>
      <c r="B2" s="53"/>
      <c r="C2" s="2" t="s">
        <v>7</v>
      </c>
      <c r="D2" s="3" t="s">
        <v>8</v>
      </c>
      <c r="E2" s="3" t="s">
        <v>9</v>
      </c>
      <c r="F2" s="1" t="s">
        <v>10</v>
      </c>
      <c r="G2" s="1" t="s">
        <v>12</v>
      </c>
      <c r="H2" s="4" t="s">
        <v>11</v>
      </c>
    </row>
    <row r="3" spans="1:8" ht="18.600000000000001" customHeight="1" thickBot="1" x14ac:dyDescent="0.6">
      <c r="A3" s="57" t="s">
        <v>16</v>
      </c>
      <c r="B3" s="8" t="s">
        <v>21</v>
      </c>
      <c r="C3" s="10">
        <v>5.0999999999999997E-2</v>
      </c>
      <c r="D3" s="11">
        <v>7.2999999999999995E-2</v>
      </c>
      <c r="E3" s="11">
        <v>85.977000000000004</v>
      </c>
      <c r="F3" s="11">
        <v>72.028000000000006</v>
      </c>
      <c r="G3" s="11">
        <v>95.605000000000004</v>
      </c>
      <c r="H3" s="12">
        <v>86.783000000000001</v>
      </c>
    </row>
    <row r="4" spans="1:8" x14ac:dyDescent="0.55000000000000004">
      <c r="A4" s="59"/>
      <c r="B4" s="6" t="s">
        <v>5</v>
      </c>
      <c r="C4" s="13">
        <v>1.7000000000000001E-2</v>
      </c>
      <c r="D4" s="14">
        <v>2.3E-2</v>
      </c>
      <c r="E4" s="14">
        <v>98.846999999999994</v>
      </c>
      <c r="F4" s="14">
        <v>96.849000000000004</v>
      </c>
      <c r="G4" s="14">
        <v>99.635000000000005</v>
      </c>
      <c r="H4" s="15">
        <v>95.793999999999997</v>
      </c>
    </row>
    <row r="5" spans="1:8" x14ac:dyDescent="0.55000000000000004">
      <c r="A5" s="59"/>
      <c r="B5" s="6" t="s">
        <v>1</v>
      </c>
      <c r="C5" s="13">
        <v>1.4E-2</v>
      </c>
      <c r="D5" s="14">
        <v>0.02</v>
      </c>
      <c r="E5" s="14">
        <v>99.162999999999997</v>
      </c>
      <c r="F5" s="14">
        <v>97.757999999999996</v>
      </c>
      <c r="G5" s="14">
        <v>99.734999999999999</v>
      </c>
      <c r="H5" s="15">
        <v>96.408000000000001</v>
      </c>
    </row>
    <row r="6" spans="1:8" x14ac:dyDescent="0.55000000000000004">
      <c r="A6" s="59"/>
      <c r="B6" s="6" t="s">
        <v>2</v>
      </c>
      <c r="C6" s="13">
        <v>1.2999999999999999E-2</v>
      </c>
      <c r="D6" s="14">
        <v>1.7999999999999999E-2</v>
      </c>
      <c r="E6" s="14">
        <v>99.311000000000007</v>
      </c>
      <c r="F6" s="14">
        <v>98.17</v>
      </c>
      <c r="G6" s="14">
        <v>99.78</v>
      </c>
      <c r="H6" s="15">
        <v>96.616</v>
      </c>
    </row>
    <row r="7" spans="1:8" x14ac:dyDescent="0.55000000000000004">
      <c r="A7" s="59"/>
      <c r="B7" s="6" t="s">
        <v>3</v>
      </c>
      <c r="C7" s="13">
        <v>1.2999999999999999E-2</v>
      </c>
      <c r="D7" s="14">
        <v>1.7999999999999999E-2</v>
      </c>
      <c r="E7" s="14">
        <v>99.289000000000001</v>
      </c>
      <c r="F7" s="14">
        <v>98.2</v>
      </c>
      <c r="G7" s="14">
        <v>99.772999999999996</v>
      </c>
      <c r="H7" s="15">
        <v>96.617000000000004</v>
      </c>
    </row>
    <row r="8" spans="1:8" x14ac:dyDescent="0.55000000000000004">
      <c r="A8" s="59"/>
      <c r="B8" s="6" t="s">
        <v>4</v>
      </c>
      <c r="C8" s="13">
        <v>1.4E-2</v>
      </c>
      <c r="D8" s="14">
        <v>1.7999999999999999E-2</v>
      </c>
      <c r="E8" s="14">
        <v>99.316000000000003</v>
      </c>
      <c r="F8" s="14">
        <v>98.277000000000001</v>
      </c>
      <c r="G8" s="14">
        <v>99.778999999999996</v>
      </c>
      <c r="H8" s="15">
        <v>96.605999999999995</v>
      </c>
    </row>
    <row r="9" spans="1:8" ht="14.7" thickBot="1" x14ac:dyDescent="0.6">
      <c r="A9" s="58"/>
      <c r="B9" s="7" t="s">
        <v>13</v>
      </c>
      <c r="C9" s="16">
        <v>1.2999999999999999E-2</v>
      </c>
      <c r="D9" s="17">
        <v>1.7999999999999999E-2</v>
      </c>
      <c r="E9" s="17">
        <v>99.323999999999998</v>
      </c>
      <c r="F9" s="17">
        <v>98.284000000000006</v>
      </c>
      <c r="G9" s="17">
        <v>99.784000000000006</v>
      </c>
      <c r="H9" s="18">
        <v>96.724999999999994</v>
      </c>
    </row>
    <row r="10" spans="1:8" ht="14.7" thickBot="1" x14ac:dyDescent="0.6">
      <c r="A10" s="57" t="s">
        <v>17</v>
      </c>
      <c r="B10" s="8" t="s">
        <v>21</v>
      </c>
      <c r="C10" s="19">
        <v>4.9000000000000002E-2</v>
      </c>
      <c r="D10" s="20">
        <v>6.5000000000000002E-2</v>
      </c>
      <c r="E10" s="20">
        <v>92.447999999999993</v>
      </c>
      <c r="F10" s="20">
        <v>77.917000000000002</v>
      </c>
      <c r="G10" s="20">
        <v>97.182000000000002</v>
      </c>
      <c r="H10" s="21">
        <v>86.608000000000004</v>
      </c>
    </row>
    <row r="11" spans="1:8" x14ac:dyDescent="0.55000000000000004">
      <c r="A11" s="59"/>
      <c r="B11" s="6" t="s">
        <v>5</v>
      </c>
      <c r="C11" s="13">
        <v>3.4000000000000002E-2</v>
      </c>
      <c r="D11" s="14">
        <v>4.3999999999999997E-2</v>
      </c>
      <c r="E11" s="14">
        <v>96.05</v>
      </c>
      <c r="F11" s="14">
        <v>88.44</v>
      </c>
      <c r="G11" s="14">
        <v>98.674000000000007</v>
      </c>
      <c r="H11" s="15">
        <v>91.037999999999997</v>
      </c>
    </row>
    <row r="12" spans="1:8" x14ac:dyDescent="0.55000000000000004">
      <c r="A12" s="59"/>
      <c r="B12" s="6" t="s">
        <v>1</v>
      </c>
      <c r="C12" s="13">
        <v>3.5000000000000003E-2</v>
      </c>
      <c r="D12" s="14">
        <v>4.3999999999999997E-2</v>
      </c>
      <c r="E12" s="14">
        <v>96.031000000000006</v>
      </c>
      <c r="F12" s="14">
        <v>88.736999999999995</v>
      </c>
      <c r="G12" s="14">
        <v>98.65</v>
      </c>
      <c r="H12" s="15">
        <v>90.98</v>
      </c>
    </row>
    <row r="13" spans="1:8" x14ac:dyDescent="0.55000000000000004">
      <c r="A13" s="59"/>
      <c r="B13" s="6" t="s">
        <v>2</v>
      </c>
      <c r="C13" s="13">
        <v>3.5000000000000003E-2</v>
      </c>
      <c r="D13" s="14">
        <v>4.3999999999999997E-2</v>
      </c>
      <c r="E13" s="14">
        <v>96.004999999999995</v>
      </c>
      <c r="F13" s="14">
        <v>88.6</v>
      </c>
      <c r="G13" s="14">
        <v>98.641000000000005</v>
      </c>
      <c r="H13" s="15">
        <v>90.921000000000006</v>
      </c>
    </row>
    <row r="14" spans="1:8" x14ac:dyDescent="0.55000000000000004">
      <c r="A14" s="59"/>
      <c r="B14" s="6" t="s">
        <v>3</v>
      </c>
      <c r="C14" s="13">
        <v>3.5000000000000003E-2</v>
      </c>
      <c r="D14" s="14">
        <v>4.3999999999999997E-2</v>
      </c>
      <c r="E14" s="14">
        <v>96.06</v>
      </c>
      <c r="F14" s="14">
        <v>88.828999999999994</v>
      </c>
      <c r="G14" s="14">
        <v>98.644000000000005</v>
      </c>
      <c r="H14" s="15">
        <v>90.947000000000003</v>
      </c>
    </row>
    <row r="15" spans="1:8" x14ac:dyDescent="0.55000000000000004">
      <c r="A15" s="59"/>
      <c r="B15" s="6" t="s">
        <v>4</v>
      </c>
      <c r="C15" s="13">
        <v>3.4000000000000002E-2</v>
      </c>
      <c r="D15" s="14">
        <v>4.3999999999999997E-2</v>
      </c>
      <c r="E15" s="14">
        <v>96.179000000000002</v>
      </c>
      <c r="F15" s="14">
        <v>89.036000000000001</v>
      </c>
      <c r="G15" s="14">
        <v>98.686000000000007</v>
      </c>
      <c r="H15" s="15">
        <v>91.054000000000002</v>
      </c>
    </row>
    <row r="16" spans="1:8" ht="14.7" thickBot="1" x14ac:dyDescent="0.6">
      <c r="A16" s="58"/>
      <c r="B16" s="7" t="s">
        <v>14</v>
      </c>
      <c r="C16" s="16">
        <v>3.4000000000000002E-2</v>
      </c>
      <c r="D16" s="17">
        <v>4.2999999999999997E-2</v>
      </c>
      <c r="E16" s="17">
        <v>96.212999999999994</v>
      </c>
      <c r="F16" s="17">
        <v>89.347999999999999</v>
      </c>
      <c r="G16" s="17">
        <v>98.747</v>
      </c>
      <c r="H16" s="18">
        <v>91.126000000000005</v>
      </c>
    </row>
    <row r="17" spans="1:8" ht="14.7" thickBot="1" x14ac:dyDescent="0.6">
      <c r="A17" s="57" t="s">
        <v>18</v>
      </c>
      <c r="B17" s="8" t="s">
        <v>21</v>
      </c>
      <c r="C17" s="19">
        <v>3.3000000000000002E-2</v>
      </c>
      <c r="D17" s="20">
        <v>4.1000000000000002E-2</v>
      </c>
      <c r="E17" s="20">
        <v>96.162000000000006</v>
      </c>
      <c r="F17" s="20">
        <v>91.123999999999995</v>
      </c>
      <c r="G17" s="20">
        <v>98.608999999999995</v>
      </c>
      <c r="H17" s="21">
        <v>91.605000000000004</v>
      </c>
    </row>
    <row r="18" spans="1:8" x14ac:dyDescent="0.55000000000000004">
      <c r="A18" s="59"/>
      <c r="B18" s="6" t="s">
        <v>5</v>
      </c>
      <c r="C18" s="13">
        <v>2.5999999999999999E-2</v>
      </c>
      <c r="D18" s="14">
        <v>3.4000000000000002E-2</v>
      </c>
      <c r="E18" s="14">
        <v>98.302000000000007</v>
      </c>
      <c r="F18" s="14">
        <v>93.149000000000001</v>
      </c>
      <c r="G18" s="14">
        <v>99.424999999999997</v>
      </c>
      <c r="H18" s="15">
        <v>93.161000000000001</v>
      </c>
    </row>
    <row r="19" spans="1:8" x14ac:dyDescent="0.55000000000000004">
      <c r="A19" s="59"/>
      <c r="B19" s="6" t="s">
        <v>1</v>
      </c>
      <c r="C19" s="13">
        <v>2.5999999999999999E-2</v>
      </c>
      <c r="D19" s="14">
        <v>3.3000000000000002E-2</v>
      </c>
      <c r="E19" s="14">
        <v>98.641999999999996</v>
      </c>
      <c r="F19" s="14">
        <v>93.688000000000002</v>
      </c>
      <c r="G19" s="14">
        <v>99.509</v>
      </c>
      <c r="H19" s="15">
        <v>93.162000000000006</v>
      </c>
    </row>
    <row r="20" spans="1:8" x14ac:dyDescent="0.55000000000000004">
      <c r="A20" s="59"/>
      <c r="B20" s="6" t="s">
        <v>2</v>
      </c>
      <c r="C20" s="13">
        <v>2.5000000000000001E-2</v>
      </c>
      <c r="D20" s="14">
        <v>3.2000000000000001E-2</v>
      </c>
      <c r="E20" s="14">
        <v>98.686999999999998</v>
      </c>
      <c r="F20" s="14">
        <v>93.956999999999994</v>
      </c>
      <c r="G20" s="14">
        <v>99.53</v>
      </c>
      <c r="H20" s="15">
        <v>93.411000000000001</v>
      </c>
    </row>
    <row r="21" spans="1:8" x14ac:dyDescent="0.55000000000000004">
      <c r="A21" s="59"/>
      <c r="B21" s="6" t="s">
        <v>3</v>
      </c>
      <c r="C21" s="13">
        <v>2.5000000000000001E-2</v>
      </c>
      <c r="D21" s="14">
        <v>3.1E-2</v>
      </c>
      <c r="E21" s="14">
        <v>98.724000000000004</v>
      </c>
      <c r="F21" s="14">
        <v>94.286000000000001</v>
      </c>
      <c r="G21" s="14">
        <v>99.528999999999996</v>
      </c>
      <c r="H21" s="15">
        <v>93.441999999999993</v>
      </c>
    </row>
    <row r="22" spans="1:8" x14ac:dyDescent="0.55000000000000004">
      <c r="A22" s="59"/>
      <c r="B22" s="6" t="s">
        <v>4</v>
      </c>
      <c r="C22" s="13">
        <v>2.5000000000000001E-2</v>
      </c>
      <c r="D22" s="14">
        <v>3.1E-2</v>
      </c>
      <c r="E22" s="14">
        <v>98.814999999999998</v>
      </c>
      <c r="F22" s="14">
        <v>94.391999999999996</v>
      </c>
      <c r="G22" s="14">
        <v>99.563000000000002</v>
      </c>
      <c r="H22" s="15">
        <v>93.525999999999996</v>
      </c>
    </row>
    <row r="23" spans="1:8" ht="14.7" thickBot="1" x14ac:dyDescent="0.6">
      <c r="A23" s="58"/>
      <c r="B23" s="7" t="s">
        <v>14</v>
      </c>
      <c r="C23" s="16">
        <v>2.4E-2</v>
      </c>
      <c r="D23" s="17">
        <v>0.03</v>
      </c>
      <c r="E23" s="17">
        <v>98.864000000000004</v>
      </c>
      <c r="F23" s="17">
        <v>94.644999999999996</v>
      </c>
      <c r="G23" s="17">
        <v>99.561000000000007</v>
      </c>
      <c r="H23" s="18">
        <v>93.772999999999996</v>
      </c>
    </row>
    <row r="24" spans="1:8" ht="14.7" thickBot="1" x14ac:dyDescent="0.6">
      <c r="A24" s="60" t="s">
        <v>19</v>
      </c>
      <c r="B24" s="8" t="s">
        <v>21</v>
      </c>
      <c r="C24" s="19">
        <v>3.5000000000000003E-2</v>
      </c>
      <c r="D24" s="20">
        <v>4.5999999999999999E-2</v>
      </c>
      <c r="E24" s="20">
        <v>95.204999999999998</v>
      </c>
      <c r="F24" s="20">
        <v>88.805999999999997</v>
      </c>
      <c r="G24" s="20">
        <v>98.376000000000005</v>
      </c>
      <c r="H24" s="21">
        <v>91.331000000000003</v>
      </c>
    </row>
    <row r="25" spans="1:8" x14ac:dyDescent="0.55000000000000004">
      <c r="A25" s="61"/>
      <c r="B25" s="6" t="s">
        <v>5</v>
      </c>
      <c r="C25" s="13">
        <v>2.8000000000000001E-2</v>
      </c>
      <c r="D25" s="14">
        <v>3.5999999999999997E-2</v>
      </c>
      <c r="E25" s="14">
        <v>97.183000000000007</v>
      </c>
      <c r="F25" s="14">
        <v>93.393000000000001</v>
      </c>
      <c r="G25" s="14">
        <v>99.111000000000004</v>
      </c>
      <c r="H25" s="15">
        <v>93.427000000000007</v>
      </c>
    </row>
    <row r="26" spans="1:8" x14ac:dyDescent="0.55000000000000004">
      <c r="A26" s="61"/>
      <c r="B26" s="6" t="s">
        <v>1</v>
      </c>
      <c r="C26" s="13">
        <v>2.8000000000000001E-2</v>
      </c>
      <c r="D26" s="14">
        <v>3.6999999999999998E-2</v>
      </c>
      <c r="E26" s="14">
        <v>97.224000000000004</v>
      </c>
      <c r="F26" s="14">
        <v>93.251000000000005</v>
      </c>
      <c r="G26" s="14">
        <v>99.126000000000005</v>
      </c>
      <c r="H26" s="15">
        <v>93.349000000000004</v>
      </c>
    </row>
    <row r="27" spans="1:8" x14ac:dyDescent="0.55000000000000004">
      <c r="A27" s="61"/>
      <c r="B27" s="6" t="s">
        <v>2</v>
      </c>
      <c r="C27" s="13">
        <v>2.8000000000000001E-2</v>
      </c>
      <c r="D27" s="14">
        <v>3.6999999999999998E-2</v>
      </c>
      <c r="E27" s="14">
        <v>97.233999999999995</v>
      </c>
      <c r="F27" s="14">
        <v>93.388999999999996</v>
      </c>
      <c r="G27" s="14">
        <v>99.13</v>
      </c>
      <c r="H27" s="15">
        <v>93.367999999999995</v>
      </c>
    </row>
    <row r="28" spans="1:8" x14ac:dyDescent="0.55000000000000004">
      <c r="A28" s="61"/>
      <c r="B28" s="6" t="s">
        <v>3</v>
      </c>
      <c r="C28" s="13">
        <v>2.8000000000000001E-2</v>
      </c>
      <c r="D28" s="14">
        <v>3.6999999999999998E-2</v>
      </c>
      <c r="E28" s="14">
        <v>97.251000000000005</v>
      </c>
      <c r="F28" s="14">
        <v>93.503</v>
      </c>
      <c r="G28" s="14">
        <v>99.135000000000005</v>
      </c>
      <c r="H28" s="15">
        <v>93.447000000000003</v>
      </c>
    </row>
    <row r="29" spans="1:8" x14ac:dyDescent="0.55000000000000004">
      <c r="A29" s="61"/>
      <c r="B29" s="6" t="s">
        <v>4</v>
      </c>
      <c r="C29" s="13">
        <v>2.8000000000000001E-2</v>
      </c>
      <c r="D29" s="14">
        <v>3.6999999999999998E-2</v>
      </c>
      <c r="E29" s="14">
        <v>97.23</v>
      </c>
      <c r="F29" s="14">
        <v>93.531999999999996</v>
      </c>
      <c r="G29" s="14">
        <v>99.129000000000005</v>
      </c>
      <c r="H29" s="15">
        <v>93.385999999999996</v>
      </c>
    </row>
    <row r="30" spans="1:8" ht="14.7" thickBot="1" x14ac:dyDescent="0.6">
      <c r="A30" s="62"/>
      <c r="B30" s="6" t="s">
        <v>14</v>
      </c>
      <c r="C30" s="13">
        <v>2.8000000000000001E-2</v>
      </c>
      <c r="D30" s="14">
        <v>3.5999999999999997E-2</v>
      </c>
      <c r="E30" s="14">
        <v>97.35</v>
      </c>
      <c r="F30" s="14">
        <v>93.564999999999998</v>
      </c>
      <c r="G30" s="14">
        <v>99.165999999999997</v>
      </c>
      <c r="H30" s="15">
        <v>93.456000000000003</v>
      </c>
    </row>
    <row r="31" spans="1:8" ht="14.7" thickBot="1" x14ac:dyDescent="0.6">
      <c r="A31" s="57" t="s">
        <v>15</v>
      </c>
      <c r="B31" s="8" t="s">
        <v>21</v>
      </c>
      <c r="C31" s="19">
        <f t="shared" ref="C31:C36" si="0">AVERAGE(C3,C10,C17,C24)</f>
        <v>4.2000000000000003E-2</v>
      </c>
      <c r="D31" s="20">
        <f>AVERAGE(D3,D10,D17,D24)</f>
        <v>5.6250000000000008E-2</v>
      </c>
      <c r="E31" s="20">
        <f>AVERAGE(E3,E10,E17,E24)</f>
        <v>92.447999999999993</v>
      </c>
      <c r="F31" s="20">
        <f>AVERAGE(F3,F10,F17,F24)</f>
        <v>82.46875</v>
      </c>
      <c r="G31" s="20">
        <f>AVERAGE(G3,G10,G17,G24)</f>
        <v>97.443000000000012</v>
      </c>
      <c r="H31" s="21">
        <f>AVERAGE(H3,H10,H17,H24)</f>
        <v>89.081750000000014</v>
      </c>
    </row>
    <row r="32" spans="1:8" x14ac:dyDescent="0.55000000000000004">
      <c r="A32" s="59"/>
      <c r="B32" s="5" t="s">
        <v>5</v>
      </c>
      <c r="C32" s="22">
        <f t="shared" si="0"/>
        <v>2.6249999999999999E-2</v>
      </c>
      <c r="D32" s="23">
        <f t="shared" ref="D32:H37" si="1">AVERAGE(D4,D11,D18,D25)</f>
        <v>3.4250000000000003E-2</v>
      </c>
      <c r="E32" s="23">
        <f t="shared" si="1"/>
        <v>97.595500000000001</v>
      </c>
      <c r="F32" s="23">
        <f t="shared" si="1"/>
        <v>92.957750000000004</v>
      </c>
      <c r="G32" s="23">
        <f t="shared" si="1"/>
        <v>99.211250000000007</v>
      </c>
      <c r="H32" s="24">
        <f t="shared" si="1"/>
        <v>93.355000000000004</v>
      </c>
    </row>
    <row r="33" spans="1:8" x14ac:dyDescent="0.55000000000000004">
      <c r="A33" s="59"/>
      <c r="B33" s="6" t="s">
        <v>1</v>
      </c>
      <c r="C33" s="13">
        <f t="shared" si="0"/>
        <v>2.5749999999999999E-2</v>
      </c>
      <c r="D33" s="14">
        <f t="shared" si="1"/>
        <v>3.3500000000000002E-2</v>
      </c>
      <c r="E33" s="14">
        <f t="shared" si="1"/>
        <v>97.765000000000001</v>
      </c>
      <c r="F33" s="14">
        <f t="shared" si="1"/>
        <v>93.358499999999992</v>
      </c>
      <c r="G33" s="14">
        <f t="shared" si="1"/>
        <v>99.254999999999995</v>
      </c>
      <c r="H33" s="15">
        <f t="shared" si="1"/>
        <v>93.47475</v>
      </c>
    </row>
    <row r="34" spans="1:8" x14ac:dyDescent="0.55000000000000004">
      <c r="A34" s="59"/>
      <c r="B34" s="6" t="s">
        <v>2</v>
      </c>
      <c r="C34" s="13">
        <f t="shared" si="0"/>
        <v>2.5250000000000002E-2</v>
      </c>
      <c r="D34" s="14">
        <f t="shared" si="1"/>
        <v>3.2750000000000001E-2</v>
      </c>
      <c r="E34" s="14">
        <f t="shared" si="1"/>
        <v>97.809249999999992</v>
      </c>
      <c r="F34" s="14">
        <f t="shared" si="1"/>
        <v>93.528999999999996</v>
      </c>
      <c r="G34" s="14">
        <f t="shared" si="1"/>
        <v>99.270250000000004</v>
      </c>
      <c r="H34" s="15">
        <f t="shared" si="1"/>
        <v>93.578999999999994</v>
      </c>
    </row>
    <row r="35" spans="1:8" x14ac:dyDescent="0.55000000000000004">
      <c r="A35" s="59"/>
      <c r="B35" s="6" t="s">
        <v>3</v>
      </c>
      <c r="C35" s="13">
        <f t="shared" si="0"/>
        <v>2.5250000000000002E-2</v>
      </c>
      <c r="D35" s="14">
        <f t="shared" si="1"/>
        <v>3.2500000000000001E-2</v>
      </c>
      <c r="E35" s="14">
        <f t="shared" si="1"/>
        <v>97.830999999999989</v>
      </c>
      <c r="F35" s="14">
        <f t="shared" si="1"/>
        <v>93.704499999999996</v>
      </c>
      <c r="G35" s="14">
        <f t="shared" si="1"/>
        <v>99.270250000000004</v>
      </c>
      <c r="H35" s="15">
        <f t="shared" si="1"/>
        <v>93.613250000000008</v>
      </c>
    </row>
    <row r="36" spans="1:8" x14ac:dyDescent="0.55000000000000004">
      <c r="A36" s="59"/>
      <c r="B36" s="6" t="s">
        <v>4</v>
      </c>
      <c r="C36" s="13">
        <f t="shared" si="0"/>
        <v>2.5250000000000002E-2</v>
      </c>
      <c r="D36" s="14">
        <f t="shared" si="1"/>
        <v>3.2500000000000001E-2</v>
      </c>
      <c r="E36" s="14">
        <f t="shared" si="1"/>
        <v>97.885000000000005</v>
      </c>
      <c r="F36" s="14">
        <f t="shared" si="1"/>
        <v>93.809249999999992</v>
      </c>
      <c r="G36" s="14">
        <f t="shared" si="1"/>
        <v>99.28925000000001</v>
      </c>
      <c r="H36" s="15">
        <f t="shared" si="1"/>
        <v>93.643000000000001</v>
      </c>
    </row>
    <row r="37" spans="1:8" ht="14.7" thickBot="1" x14ac:dyDescent="0.6">
      <c r="A37" s="58"/>
      <c r="B37" s="7" t="s">
        <v>14</v>
      </c>
      <c r="C37" s="16">
        <f>AVERAGE(C9,C16,C23,C30)</f>
        <v>2.4750000000000001E-2</v>
      </c>
      <c r="D37" s="17">
        <f t="shared" si="1"/>
        <v>3.175E-2</v>
      </c>
      <c r="E37" s="17">
        <f t="shared" si="1"/>
        <v>97.937749999999994</v>
      </c>
      <c r="F37" s="17">
        <f t="shared" si="1"/>
        <v>93.960499999999996</v>
      </c>
      <c r="G37" s="17">
        <f t="shared" si="1"/>
        <v>99.314499999999995</v>
      </c>
      <c r="H37" s="18">
        <f t="shared" si="1"/>
        <v>93.77000000000001</v>
      </c>
    </row>
  </sheetData>
  <mergeCells count="8">
    <mergeCell ref="B1:B2"/>
    <mergeCell ref="C1:H1"/>
    <mergeCell ref="A1:A2"/>
    <mergeCell ref="A31:A37"/>
    <mergeCell ref="A10:A16"/>
    <mergeCell ref="A17:A23"/>
    <mergeCell ref="A3:A9"/>
    <mergeCell ref="A24:A30"/>
  </mergeCells>
  <conditionalFormatting sqref="C4:C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C16 C18:C23 C25:C30 C32:C37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C1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C23 C25:C30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C2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C3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C3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9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16 D18:D23 D25:D30 D32:D37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D1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D23 D25:D30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D2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D3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D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E16 E18:E23 E25:E30 E32:E37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E1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8:E23 E25:E30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8:E2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E3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:E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F16 F18:F23 F25:F30 F32:F37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F1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F23 F25:F3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F2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F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2:F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G16 G18:G23 G25:G30 G32:G37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G1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G23 G25:G30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G2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:G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:G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9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H16 H18:H23 H25:H30 H32:H37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H1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23 H25:H30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2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:H3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30E8-EAF6-4287-9F55-3AAAE131A589}">
  <dimension ref="A1:C18"/>
  <sheetViews>
    <sheetView showGridLines="0" workbookViewId="0">
      <selection activeCell="D22" sqref="D22"/>
    </sheetView>
  </sheetViews>
  <sheetFormatPr defaultRowHeight="14.4" x14ac:dyDescent="0.55000000000000004"/>
  <cols>
    <col min="1" max="1" width="8.68359375" bestFit="1" customWidth="1"/>
    <col min="2" max="2" width="35.1015625" bestFit="1" customWidth="1"/>
    <col min="3" max="3" width="7.83984375" bestFit="1" customWidth="1"/>
  </cols>
  <sheetData>
    <row r="1" spans="1:3" ht="18.600000000000001" customHeight="1" x14ac:dyDescent="0.55000000000000004">
      <c r="A1" s="57" t="s">
        <v>20</v>
      </c>
      <c r="B1" s="52" t="s">
        <v>0</v>
      </c>
      <c r="C1" s="63" t="s">
        <v>22</v>
      </c>
    </row>
    <row r="2" spans="1:3" ht="18.600000000000001" customHeight="1" thickBot="1" x14ac:dyDescent="0.6">
      <c r="A2" s="58"/>
      <c r="B2" s="53"/>
      <c r="C2" s="64"/>
    </row>
    <row r="3" spans="1:3" x14ac:dyDescent="0.55000000000000004">
      <c r="A3" s="57" t="s">
        <v>16</v>
      </c>
      <c r="B3" s="9" t="s">
        <v>28</v>
      </c>
      <c r="C3" s="28">
        <v>32.26</v>
      </c>
    </row>
    <row r="4" spans="1:3" x14ac:dyDescent="0.55000000000000004">
      <c r="A4" s="59"/>
      <c r="B4" s="6" t="s">
        <v>29</v>
      </c>
      <c r="C4" s="27">
        <v>92.09</v>
      </c>
    </row>
    <row r="5" spans="1:3" x14ac:dyDescent="0.55000000000000004">
      <c r="A5" s="59"/>
      <c r="B5" s="6" t="s">
        <v>25</v>
      </c>
      <c r="C5" s="25">
        <v>97.58</v>
      </c>
    </row>
    <row r="6" spans="1:3" ht="14.7" thickBot="1" x14ac:dyDescent="0.6">
      <c r="A6" s="58"/>
      <c r="B6" s="7" t="s">
        <v>27</v>
      </c>
      <c r="C6" s="26">
        <v>99.98</v>
      </c>
    </row>
    <row r="7" spans="1:3" x14ac:dyDescent="0.55000000000000004">
      <c r="A7" s="57" t="s">
        <v>17</v>
      </c>
      <c r="B7" s="9" t="s">
        <v>23</v>
      </c>
      <c r="C7" s="29">
        <v>87.79</v>
      </c>
    </row>
    <row r="8" spans="1:3" x14ac:dyDescent="0.55000000000000004">
      <c r="A8" s="59"/>
      <c r="B8" s="6" t="s">
        <v>24</v>
      </c>
      <c r="C8" s="25">
        <v>98.02</v>
      </c>
    </row>
    <row r="9" spans="1:3" x14ac:dyDescent="0.55000000000000004">
      <c r="A9" s="59"/>
      <c r="B9" s="6" t="s">
        <v>25</v>
      </c>
      <c r="C9" s="25">
        <v>99.95</v>
      </c>
    </row>
    <row r="10" spans="1:3" ht="14.7" thickBot="1" x14ac:dyDescent="0.6">
      <c r="A10" s="58"/>
      <c r="B10" s="7" t="s">
        <v>26</v>
      </c>
      <c r="C10" s="26">
        <v>99.98</v>
      </c>
    </row>
    <row r="11" spans="1:3" x14ac:dyDescent="0.55000000000000004">
      <c r="A11" s="57" t="s">
        <v>18</v>
      </c>
      <c r="B11" s="9" t="s">
        <v>23</v>
      </c>
      <c r="C11" s="29">
        <v>81.2</v>
      </c>
    </row>
    <row r="12" spans="1:3" x14ac:dyDescent="0.55000000000000004">
      <c r="A12" s="59"/>
      <c r="B12" s="6" t="s">
        <v>24</v>
      </c>
      <c r="C12" s="25">
        <v>96.09</v>
      </c>
    </row>
    <row r="13" spans="1:3" x14ac:dyDescent="0.55000000000000004">
      <c r="A13" s="59"/>
      <c r="B13" s="6" t="s">
        <v>25</v>
      </c>
      <c r="C13" s="25">
        <v>96.54</v>
      </c>
    </row>
    <row r="14" spans="1:3" ht="14.7" thickBot="1" x14ac:dyDescent="0.6">
      <c r="A14" s="58"/>
      <c r="B14" s="7" t="s">
        <v>26</v>
      </c>
      <c r="C14" s="26">
        <v>98.87</v>
      </c>
    </row>
    <row r="15" spans="1:3" x14ac:dyDescent="0.55000000000000004">
      <c r="A15" s="60" t="s">
        <v>19</v>
      </c>
      <c r="B15" s="9" t="s">
        <v>23</v>
      </c>
      <c r="C15" s="29">
        <v>61.41</v>
      </c>
    </row>
    <row r="16" spans="1:3" x14ac:dyDescent="0.55000000000000004">
      <c r="A16" s="61"/>
      <c r="B16" s="6" t="s">
        <v>24</v>
      </c>
      <c r="C16" s="25">
        <v>96.51</v>
      </c>
    </row>
    <row r="17" spans="1:3" x14ac:dyDescent="0.55000000000000004">
      <c r="A17" s="61"/>
      <c r="B17" s="6" t="s">
        <v>25</v>
      </c>
      <c r="C17" s="25">
        <v>99.82</v>
      </c>
    </row>
    <row r="18" spans="1:3" ht="14.7" thickBot="1" x14ac:dyDescent="0.6">
      <c r="A18" s="62"/>
      <c r="B18" s="7" t="s">
        <v>26</v>
      </c>
      <c r="C18" s="26">
        <v>100</v>
      </c>
    </row>
  </sheetData>
  <mergeCells count="7">
    <mergeCell ref="A15:A18"/>
    <mergeCell ref="C1:C2"/>
    <mergeCell ref="A1:A2"/>
    <mergeCell ref="B1:B2"/>
    <mergeCell ref="A3:A6"/>
    <mergeCell ref="A7:A10"/>
    <mergeCell ref="A11:A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Speed_Trials</vt:lpstr>
      <vt:lpstr>Body Regions</vt:lpstr>
      <vt:lpstr>Task-wise</vt:lpstr>
      <vt:lpstr>Task-wise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 Mahmud</dc:creator>
  <cp:lastModifiedBy>Sakib Mahmud</cp:lastModifiedBy>
  <dcterms:created xsi:type="dcterms:W3CDTF">2015-06-05T18:17:20Z</dcterms:created>
  <dcterms:modified xsi:type="dcterms:W3CDTF">2025-08-28T18:43:52Z</dcterms:modified>
</cp:coreProperties>
</file>